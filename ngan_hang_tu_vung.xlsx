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 1 - Sơ Cấp" sheetId="1" r:id="rId1"/>
    <sheet name="HSK 2 - Sơ Cấp" sheetId="2" r:id="rId2"/>
    <sheet name="HSK 3- Trung cấp" sheetId="3" r:id="rId3"/>
    <sheet name="HSK 4- Trung cấp" sheetId="4" r:id="rId4"/>
  </sheets>
  <definedNames>
    <definedName name="_xlnm._FilterDatabase" localSheetId="2" hidden="1">'HSK 3- Trung cấp'!A1:I476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\,m\,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1"/>
  <sheetViews>
    <sheetView workbookViewId="0" rightToLeft="0"/>
  </sheetViews>
  <sheetData>
    <row r="1">
      <c r="A1" t="str">
        <v>STT</v>
      </c>
      <c r="B1" t="str">
        <v>Bài</v>
      </c>
      <c r="C1" t="str">
        <v>Tên Bài</v>
      </c>
      <c r="D1" t="str">
        <v>Từ vựng</v>
      </c>
      <c r="E1" t="str">
        <v xml:space="preserve">Từ loại </v>
      </c>
      <c r="F1" t="str">
        <v>Phiên âm</v>
      </c>
      <c r="G1" t="str">
        <v>Nghĩa</v>
      </c>
      <c r="H1" t="str">
        <v>Chủ đề</v>
      </c>
      <c r="I1" t="str">
        <v>Ví dụ</v>
      </c>
      <c r="K1" t="str">
        <v>Ghi chú</v>
      </c>
    </row>
    <row r="2">
      <c r="A2">
        <v>1</v>
      </c>
      <c r="B2">
        <v>15</v>
      </c>
      <c r="C2" t="str">
        <v>大兴机场见！</v>
      </c>
      <c r="D2" t="str">
        <v>爱</v>
      </c>
      <c r="E2" t="str">
        <v>Động từ</v>
      </c>
      <c r="F2" t="str">
        <v>ài</v>
      </c>
      <c r="G2" t="str">
        <v>yêu, thích</v>
      </c>
      <c r="H2" t="str">
        <v>3. Cảm xúc &amp; Thái độ</v>
      </c>
      <c r="K2" t="str">
        <v>Chủ đề</v>
      </c>
    </row>
    <row r="3">
      <c r="A3">
        <v>2</v>
      </c>
      <c r="B3">
        <v>4</v>
      </c>
      <c r="C3" t="str">
        <v>我有两个孩子</v>
      </c>
      <c r="D3" t="str">
        <v>八</v>
      </c>
      <c r="E3" t="str">
        <v>Số từ</v>
      </c>
      <c r="F3" t="str">
        <v>bā</v>
      </c>
      <c r="G3" t="str">
        <v>tám</v>
      </c>
      <c r="H3" t="str">
        <v>13. Số lượng &amp; Đo lường</v>
      </c>
    </row>
    <row r="4">
      <c r="A4">
        <v>3</v>
      </c>
      <c r="B4">
        <v>4</v>
      </c>
      <c r="C4" t="str">
        <v>我有两个孩子</v>
      </c>
      <c r="D4" t="str">
        <v>爸爸</v>
      </c>
      <c r="E4" t="str">
        <v>Danh từ</v>
      </c>
      <c r="F4" t="str">
        <v>bàba</v>
      </c>
      <c r="G4" t="str">
        <v>bố</v>
      </c>
      <c r="H4" t="str">
        <v>1. Con người &amp; Các mối quan hệ</v>
      </c>
    </row>
    <row r="5" xml:space="preserve">
      <c r="A5">
        <v>4</v>
      </c>
      <c r="B5">
        <v>7</v>
      </c>
      <c r="C5" t="str">
        <v>我晚上六点半下班</v>
      </c>
      <c r="D5" t="str">
        <v>吧</v>
      </c>
      <c r="E5" t="str">
        <v>Trợ từ</v>
      </c>
      <c r="F5" t="str">
        <v>ba</v>
      </c>
      <c r="G5" t="str" xml:space="preserve">
        <v xml:space="preserve">nào; nhé; chứ; thôi; đi_x000d_
</v>
      </c>
      <c r="H5" t="str">
        <v>14. Công cụ ngữ pháp &amp; Cấu trúc</v>
      </c>
      <c r="K5" t="str">
        <v>Đã gộp từ chủ đề lẻ vào nhóm Ngữ pháp để tối ưu hiển thị trong Game</v>
      </c>
    </row>
    <row r="6">
      <c r="A6">
        <v>5</v>
      </c>
      <c r="B6">
        <v>9</v>
      </c>
      <c r="C6" t="str">
        <v>我明天上午在学校学习</v>
      </c>
      <c r="D6" t="str">
        <v>白天</v>
      </c>
      <c r="E6" t="str">
        <v>Danh từ</v>
      </c>
      <c r="F6" t="str">
        <v>báitiān</v>
      </c>
      <c r="G6" t="str">
        <v>ban ngày</v>
      </c>
      <c r="H6" t="str">
        <v>10. Thời gian</v>
      </c>
    </row>
    <row r="7">
      <c r="A7">
        <v>6</v>
      </c>
      <c r="B7">
        <v>4</v>
      </c>
      <c r="C7" t="str">
        <v>我有两个孩子</v>
      </c>
      <c r="D7" t="str">
        <v>百</v>
      </c>
      <c r="E7" t="str">
        <v>Số từ</v>
      </c>
      <c r="F7" t="str">
        <v>bǎi</v>
      </c>
      <c r="G7" t="str">
        <v>Một trăm</v>
      </c>
      <c r="H7" t="str">
        <v>13. Số lượng &amp; Đo lường</v>
      </c>
    </row>
    <row r="8">
      <c r="A8">
        <v>7</v>
      </c>
      <c r="B8">
        <v>7</v>
      </c>
      <c r="C8" t="str">
        <v>我晚上六点半下班</v>
      </c>
      <c r="D8" t="str">
        <v>半</v>
      </c>
      <c r="E8" t="str">
        <v>Số từ</v>
      </c>
      <c r="F8" t="str">
        <v>bàn</v>
      </c>
      <c r="G8" t="str">
        <v>Một nửa</v>
      </c>
      <c r="H8" t="str">
        <v>13. Số lượng &amp; Đo lường</v>
      </c>
    </row>
    <row r="9">
      <c r="A9">
        <v>8</v>
      </c>
      <c r="B9">
        <v>6</v>
      </c>
      <c r="C9" t="str">
        <v>你的手机号码是多少</v>
      </c>
      <c r="D9" t="str">
        <v>包子</v>
      </c>
      <c r="E9" t="str">
        <v>Danh từ</v>
      </c>
      <c r="F9" t="str">
        <v>bāozi</v>
      </c>
      <c r="G9" t="str">
        <v>bánh bao hấp nhân</v>
      </c>
      <c r="H9" t="str">
        <v>16. Đồ ăn &amp; Thức uống</v>
      </c>
    </row>
    <row r="10">
      <c r="A10">
        <v>9</v>
      </c>
      <c r="B10">
        <v>13</v>
      </c>
      <c r="C10" t="str">
        <v>请给我一杯茶</v>
      </c>
      <c r="D10" t="str">
        <v>杯</v>
      </c>
      <c r="E10" t="str">
        <v>Lượng từ, Danh từ</v>
      </c>
      <c r="F10" t="str">
        <v>bēi</v>
      </c>
      <c r="G10" t="str">
        <v>ly; cốc</v>
      </c>
      <c r="H10" t="str">
        <v>6. Đồ vật &amp; Công cụ</v>
      </c>
    </row>
    <row r="11">
      <c r="A11">
        <v>10</v>
      </c>
      <c r="B11">
        <v>10</v>
      </c>
      <c r="C11" t="str">
        <v>这儿的苹果真便宜</v>
      </c>
      <c r="D11" t="str">
        <v>杯子</v>
      </c>
      <c r="E11" t="str">
        <v>Danh từ</v>
      </c>
      <c r="F11" t="str">
        <v>bēizi</v>
      </c>
      <c r="G11" t="str">
        <v xml:space="preserve"> ly; cốc; chén; tách</v>
      </c>
      <c r="H11" t="str">
        <v>6. Đồ vật &amp; Công cụ</v>
      </c>
    </row>
    <row r="12">
      <c r="A12">
        <v>11</v>
      </c>
      <c r="B12">
        <v>9</v>
      </c>
      <c r="C12" t="str">
        <v>我明天上午在学校学习</v>
      </c>
      <c r="D12" t="str">
        <v>本</v>
      </c>
      <c r="E12" t="str">
        <v>Lượng từ</v>
      </c>
      <c r="F12" t="str">
        <v>běn</v>
      </c>
      <c r="G12" t="str">
        <v>vở; tập; cuốn; quyển (dùng cho sách vở sổ sách)</v>
      </c>
      <c r="H12" t="str">
        <v>13. Số lượng &amp; Đo lường</v>
      </c>
    </row>
    <row r="13">
      <c r="A13">
        <v>12</v>
      </c>
      <c r="B13">
        <v>9</v>
      </c>
      <c r="C13" t="str">
        <v>我明天上午在学校学习</v>
      </c>
      <c r="D13" t="str">
        <v>边</v>
      </c>
      <c r="E13" t="str">
        <v>Danh từ, Hậu tố</v>
      </c>
      <c r="F13" t="str">
        <v>biān</v>
      </c>
      <c r="G13" t="str">
        <v>bên</v>
      </c>
      <c r="H13" t="str">
        <v>9. Không gian &amp; Vị trí</v>
      </c>
    </row>
    <row r="14">
      <c r="A14">
        <v>13</v>
      </c>
      <c r="B14">
        <v>12</v>
      </c>
      <c r="C14" t="str">
        <v>昨天下雪了</v>
      </c>
      <c r="D14" t="str">
        <v>病</v>
      </c>
      <c r="E14" t="str">
        <v>Động từ</v>
      </c>
      <c r="F14" t="str">
        <v>bìng</v>
      </c>
      <c r="G14" t="str">
        <v>đau ốm</v>
      </c>
      <c r="H14" t="str">
        <v>2. Cơ thể &amp; Sức khỏe</v>
      </c>
    </row>
    <row r="15">
      <c r="A15">
        <v>14</v>
      </c>
      <c r="B15">
        <v>8</v>
      </c>
      <c r="C15" t="str">
        <v>我爸爸也在医院工作</v>
      </c>
      <c r="D15" t="str">
        <v>病人</v>
      </c>
      <c r="E15" t="str">
        <v>Danh từ</v>
      </c>
      <c r="F15" t="str">
        <v>bìngrén</v>
      </c>
      <c r="G15" t="str">
        <v>bệnh nhân</v>
      </c>
      <c r="H15" t="str">
        <v>2. Cơ thể &amp; Sức khỏe</v>
      </c>
    </row>
    <row r="16">
      <c r="A16">
        <v>15</v>
      </c>
      <c r="B16">
        <v>1</v>
      </c>
      <c r="C16" t="str">
        <v>AI 小语，你好！</v>
      </c>
      <c r="D16" t="str">
        <v>不客气</v>
      </c>
      <c r="F16" t="str">
        <v>bú kèqi</v>
      </c>
      <c r="G16" t="str">
        <v>Không có gì</v>
      </c>
      <c r="H16" t="str">
        <v>14. Công cụ ngữ pháp &amp; Cấu trúc</v>
      </c>
    </row>
    <row r="17">
      <c r="A17">
        <v>16</v>
      </c>
      <c r="B17">
        <v>14</v>
      </c>
      <c r="C17" t="str">
        <v>我看了一个电影</v>
      </c>
      <c r="D17" t="str">
        <v>不要</v>
      </c>
      <c r="E17" t="str">
        <v>Phó từ</v>
      </c>
      <c r="F17" t="str">
        <v>búyào</v>
      </c>
      <c r="G17" t="str">
        <v>không muốn</v>
      </c>
      <c r="H17" t="str">
        <v>14. Công cụ ngữ pháp &amp; Cấu trúc</v>
      </c>
    </row>
    <row r="18">
      <c r="A18">
        <v>17</v>
      </c>
      <c r="B18">
        <v>2</v>
      </c>
      <c r="C18" t="str">
        <v>我叫李文</v>
      </c>
      <c r="D18" t="str">
        <v>不</v>
      </c>
      <c r="E18" t="str">
        <v>Phó từ</v>
      </c>
      <c r="F18" t="str">
        <v>bù</v>
      </c>
      <c r="G18" t="str">
        <v>KHÔNG</v>
      </c>
      <c r="H18" t="str">
        <v>14. Công cụ ngữ pháp &amp; Cấu trúc</v>
      </c>
    </row>
    <row r="19" xml:space="preserve">
      <c r="A19">
        <v>18</v>
      </c>
      <c r="B19">
        <v>5.7</v>
      </c>
      <c r="C19" t="str" xml:space="preserve">
        <v xml:space="preserve">今天我休息_x000d_
我晚上六点半下班</v>
      </c>
      <c r="D19" t="str">
        <v>菜</v>
      </c>
      <c r="E19" t="str">
        <v>Danh từ</v>
      </c>
      <c r="F19" t="str">
        <v>cài</v>
      </c>
      <c r="G19" t="str">
        <v>món ăn</v>
      </c>
      <c r="H19" t="str">
        <v>16. Đồ ăn &amp; Thức uống</v>
      </c>
    </row>
    <row r="20">
      <c r="A20">
        <v>19</v>
      </c>
      <c r="B20">
        <v>13</v>
      </c>
      <c r="C20" t="str">
        <v>请给我一杯茶</v>
      </c>
      <c r="D20" t="str">
        <v>茶</v>
      </c>
      <c r="E20" t="str">
        <v>Danh từ</v>
      </c>
      <c r="F20" t="str">
        <v>chá</v>
      </c>
      <c r="G20" t="str">
        <v>Trà</v>
      </c>
      <c r="H20" t="str">
        <v>16. Đồ ăn &amp; Thức uống</v>
      </c>
    </row>
    <row r="21">
      <c r="A21">
        <v>20</v>
      </c>
      <c r="B21">
        <v>9</v>
      </c>
      <c r="C21" t="str">
        <v>我明天上午在学校学习</v>
      </c>
      <c r="D21" t="str">
        <v>唱</v>
      </c>
      <c r="E21" t="str">
        <v>Động từ</v>
      </c>
      <c r="F21" t="str">
        <v>chàng</v>
      </c>
      <c r="G21" t="str">
        <v>Hát</v>
      </c>
      <c r="H21" t="str">
        <v>5. Đời sống sinh hoạt</v>
      </c>
    </row>
    <row r="22">
      <c r="A22">
        <v>21</v>
      </c>
      <c r="B22">
        <v>6</v>
      </c>
      <c r="C22" t="str">
        <v>你的手机号码是多少</v>
      </c>
      <c r="D22" t="str">
        <v>超市</v>
      </c>
      <c r="E22" t="str">
        <v>Danh từ</v>
      </c>
      <c r="F22" t="str">
        <v>chāoshì</v>
      </c>
      <c r="G22" t="str">
        <v>siêu thị</v>
      </c>
      <c r="H22" t="str">
        <v>7. Địa điểm &amp; Nơi chốn</v>
      </c>
    </row>
    <row r="23">
      <c r="A23">
        <v>22</v>
      </c>
      <c r="B23">
        <v>11</v>
      </c>
      <c r="C23" t="str">
        <v>我读大学了</v>
      </c>
      <c r="D23" t="str">
        <v>车</v>
      </c>
      <c r="E23" t="str">
        <v>Danh từ</v>
      </c>
      <c r="F23" t="str">
        <v>chē</v>
      </c>
      <c r="G23" t="str">
        <v>xe hơi</v>
      </c>
      <c r="H23" t="str">
        <v>8. Giao thông &amp; Di chuyển</v>
      </c>
    </row>
    <row r="24">
      <c r="A24">
        <v>23</v>
      </c>
      <c r="B24">
        <v>6</v>
      </c>
      <c r="C24" t="str">
        <v>你的手机号码是多少</v>
      </c>
      <c r="D24" t="str">
        <v>吃</v>
      </c>
      <c r="E24" t="str">
        <v>Động từ</v>
      </c>
      <c r="F24" t="str">
        <v>chī</v>
      </c>
      <c r="G24" t="str">
        <v>ăn</v>
      </c>
      <c r="H24" t="str">
        <v>5. Đời sống sinh hoạt</v>
      </c>
    </row>
    <row r="25">
      <c r="A25">
        <v>24</v>
      </c>
      <c r="B25">
        <v>6</v>
      </c>
      <c r="C25" t="str">
        <v>你的手机号码是多少</v>
      </c>
      <c r="D25" t="str">
        <v>出租车</v>
      </c>
      <c r="E25" t="str">
        <v>Danh từ</v>
      </c>
      <c r="F25" t="str">
        <v>chūzūchē</v>
      </c>
      <c r="G25" t="str">
        <v>Taxi</v>
      </c>
      <c r="H25" t="str">
        <v>8. Giao thông &amp; Di chuyển</v>
      </c>
    </row>
    <row r="26">
      <c r="A26">
        <v>25</v>
      </c>
      <c r="B26">
        <v>10</v>
      </c>
      <c r="C26" t="str">
        <v>这儿的苹果真便宜</v>
      </c>
      <c r="D26" t="str">
        <v>穿</v>
      </c>
      <c r="E26" t="str">
        <v>Động từ</v>
      </c>
      <c r="F26" t="str">
        <v>chuān</v>
      </c>
      <c r="G26" t="str">
        <v>mặc</v>
      </c>
      <c r="H26" t="str">
        <v>5. Đời sống sinh hoạt</v>
      </c>
    </row>
    <row r="27">
      <c r="A27">
        <v>26</v>
      </c>
      <c r="B27">
        <v>13</v>
      </c>
      <c r="C27" t="str">
        <v>请给我一杯茶</v>
      </c>
      <c r="D27" t="str">
        <v>打电话</v>
      </c>
      <c r="E27" t="str">
        <v>Động từ</v>
      </c>
      <c r="F27" t="str">
        <v>dǎ diànhuà</v>
      </c>
      <c r="G27" t="str">
        <v>Gọi điện</v>
      </c>
      <c r="H27" t="str">
        <v>5. Đời sống sinh hoạt</v>
      </c>
    </row>
    <row r="28" xml:space="preserve">
      <c r="A28">
        <v>27</v>
      </c>
      <c r="B28">
        <v>4.8</v>
      </c>
      <c r="C28" t="str" xml:space="preserve">
        <v xml:space="preserve">我有两个孩子_x000d_
我爸爸也在医院工作</v>
      </c>
      <c r="D28" t="str">
        <v>大</v>
      </c>
      <c r="E28" t="str">
        <v>Tính từ</v>
      </c>
      <c r="F28" t="str">
        <v>dà</v>
      </c>
      <c r="G28" t="str">
        <v>to lớn</v>
      </c>
      <c r="H28" t="str">
        <v>12. Miêu tả &amp; Đánh giá</v>
      </c>
    </row>
    <row r="29">
      <c r="A29">
        <v>28</v>
      </c>
      <c r="B29">
        <v>1</v>
      </c>
      <c r="C29" t="str">
        <v>AI 小语，你好！</v>
      </c>
      <c r="D29" t="str">
        <v>大家</v>
      </c>
      <c r="E29" t="str">
        <v>Đại từ</v>
      </c>
      <c r="F29" t="str">
        <v>dàjiā</v>
      </c>
      <c r="G29" t="str">
        <v>Mọi người</v>
      </c>
      <c r="H29" t="str">
        <v>1. Con người &amp; Các mối quan hệ</v>
      </c>
    </row>
    <row r="30">
      <c r="A30">
        <v>29</v>
      </c>
      <c r="B30">
        <v>11</v>
      </c>
      <c r="C30" t="str">
        <v>我读大学了</v>
      </c>
      <c r="D30" t="str">
        <v>大学</v>
      </c>
      <c r="E30" t="str">
        <v>Danh từ</v>
      </c>
      <c r="F30" t="str">
        <v>dàxué</v>
      </c>
      <c r="G30" t="str">
        <v>Trường đại học</v>
      </c>
      <c r="H30" t="str">
        <v>7. Địa điểm &amp; Nơi chốn</v>
      </c>
    </row>
    <row r="31">
      <c r="A31">
        <v>30</v>
      </c>
      <c r="B31">
        <v>11</v>
      </c>
      <c r="C31" t="str">
        <v>我读大学了</v>
      </c>
      <c r="D31" t="str">
        <v>大学生</v>
      </c>
      <c r="E31" t="str">
        <v>Danh từ</v>
      </c>
      <c r="F31" t="str">
        <v>dàxuéshēng</v>
      </c>
      <c r="G31" t="str">
        <v>sinh viên đại học</v>
      </c>
      <c r="H31" t="str">
        <v>11. Công việc &amp; Nghề nghiệp</v>
      </c>
    </row>
    <row r="32">
      <c r="A32">
        <v>31</v>
      </c>
      <c r="B32">
        <v>8</v>
      </c>
      <c r="C32" t="str">
        <v>我爸爸也在医院工作</v>
      </c>
      <c r="D32" t="str">
        <v>到</v>
      </c>
      <c r="E32" t="str">
        <v>Động từ</v>
      </c>
      <c r="F32" t="str">
        <v>dào</v>
      </c>
      <c r="G32" t="str">
        <v>đến</v>
      </c>
      <c r="H32" t="str">
        <v>8. Giao thông &amp; Di chuyển</v>
      </c>
    </row>
    <row r="33">
      <c r="A33">
        <v>32</v>
      </c>
      <c r="B33">
        <v>3</v>
      </c>
      <c r="C33" t="str">
        <v>我是中国人</v>
      </c>
      <c r="D33" t="str">
        <v>的</v>
      </c>
      <c r="E33" t="str">
        <v>Trợ từ</v>
      </c>
      <c r="F33" t="str">
        <v>de</v>
      </c>
      <c r="G33" t="str">
        <v>của</v>
      </c>
      <c r="H33" t="str">
        <v>14. Công cụ ngữ pháp &amp; Cấu trúc</v>
      </c>
    </row>
    <row r="34">
      <c r="A34">
        <v>33</v>
      </c>
      <c r="B34">
        <v>11</v>
      </c>
      <c r="C34" t="str">
        <v>我读大学了</v>
      </c>
      <c r="D34" t="str">
        <v>弟弟</v>
      </c>
      <c r="E34" t="str">
        <v>Danh từ</v>
      </c>
      <c r="F34" t="str">
        <v>dìdi</v>
      </c>
      <c r="G34" t="str">
        <v>em trai</v>
      </c>
      <c r="H34" t="str">
        <v>1. Con người &amp; Các mối quan hệ</v>
      </c>
    </row>
    <row r="35">
      <c r="A35">
        <v>34</v>
      </c>
      <c r="B35">
        <v>9</v>
      </c>
      <c r="C35" t="str">
        <v>我明天上午在学校学习</v>
      </c>
      <c r="D35" t="str">
        <v>第</v>
      </c>
      <c r="E35" t="str">
        <v>Tiền tố</v>
      </c>
      <c r="F35" t="str">
        <v>dì</v>
      </c>
      <c r="G35" t="str">
        <v>(tiền tố) đứng trước số thứ tự</v>
      </c>
      <c r="H35" t="str">
        <v>13. Số lượng &amp; Đo lường</v>
      </c>
    </row>
    <row r="36">
      <c r="A36">
        <v>35</v>
      </c>
      <c r="B36">
        <v>7</v>
      </c>
      <c r="C36" t="str">
        <v>我晚上六点半下班</v>
      </c>
      <c r="D36" t="str">
        <v>点</v>
      </c>
      <c r="E36" t="str">
        <v>Lượng từ</v>
      </c>
      <c r="F36" t="str">
        <v>diǎn</v>
      </c>
      <c r="G36" t="str">
        <v>giờ</v>
      </c>
      <c r="H36" t="str">
        <v>10. Thời gian</v>
      </c>
    </row>
    <row r="37">
      <c r="A37">
        <v>36</v>
      </c>
      <c r="B37">
        <v>6</v>
      </c>
      <c r="C37" t="str">
        <v>你的手机号码是多少</v>
      </c>
      <c r="D37" t="str">
        <v>电话</v>
      </c>
      <c r="E37" t="str">
        <v>Danh từ</v>
      </c>
      <c r="F37" t="str">
        <v>diànhuà</v>
      </c>
      <c r="G37" t="str">
        <v>Điện thoại</v>
      </c>
      <c r="H37" t="str">
        <v>6. Đồ vật &amp; Công cụ</v>
      </c>
    </row>
    <row r="38">
      <c r="A38">
        <v>37</v>
      </c>
      <c r="B38">
        <v>5</v>
      </c>
      <c r="C38" t="str">
        <v>今天我休息</v>
      </c>
      <c r="D38" t="str">
        <v>电脑</v>
      </c>
      <c r="E38" t="str">
        <v>Danh từ</v>
      </c>
      <c r="F38" t="str">
        <v>diànnǎo</v>
      </c>
      <c r="G38" t="str">
        <v>máy tính</v>
      </c>
      <c r="H38" t="str">
        <v>6. Đồ vật &amp; Công cụ</v>
      </c>
    </row>
    <row r="39">
      <c r="A39">
        <v>38</v>
      </c>
      <c r="B39">
        <v>9</v>
      </c>
      <c r="C39" t="str">
        <v>我明天上午在学校学习</v>
      </c>
      <c r="D39" t="str">
        <v>电视</v>
      </c>
      <c r="E39" t="str">
        <v>Danh từ</v>
      </c>
      <c r="F39" t="str">
        <v>diànshì</v>
      </c>
      <c r="G39" t="str">
        <v>tivi</v>
      </c>
      <c r="H39" t="str">
        <v>6. Đồ vật &amp; Công cụ</v>
      </c>
    </row>
    <row r="40">
      <c r="A40">
        <v>39</v>
      </c>
      <c r="B40">
        <v>7</v>
      </c>
      <c r="C40" t="str">
        <v>我晚上六点半下班</v>
      </c>
      <c r="D40" t="str">
        <v>电影</v>
      </c>
      <c r="E40" t="str">
        <v>Danh từ</v>
      </c>
      <c r="F40" t="str">
        <v>diànyǐng</v>
      </c>
      <c r="G40" t="str">
        <v>Bộ phim</v>
      </c>
      <c r="H40" t="str">
        <v>6. Đồ vật &amp; Công cụ</v>
      </c>
    </row>
    <row r="41">
      <c r="A41">
        <v>40</v>
      </c>
      <c r="B41">
        <v>7</v>
      </c>
      <c r="C41" t="str">
        <v>我晚上六点半下班</v>
      </c>
      <c r="D41" t="str">
        <v>电影院</v>
      </c>
      <c r="E41" t="str">
        <v>Danh từ</v>
      </c>
      <c r="F41" t="str">
        <v>diànyǐngyuàn</v>
      </c>
      <c r="G41" t="str">
        <v>Rạp chiếu phim</v>
      </c>
      <c r="H41" t="str">
        <v>7. Địa điểm &amp; Nơi chốn</v>
      </c>
    </row>
    <row r="42">
      <c r="A42">
        <v>41</v>
      </c>
      <c r="B42">
        <v>7</v>
      </c>
      <c r="C42" t="str">
        <v>我晚上六点半下班</v>
      </c>
      <c r="D42" t="str">
        <v>店</v>
      </c>
      <c r="E42" t="str">
        <v>Danh từ</v>
      </c>
      <c r="F42" t="str">
        <v>diàn</v>
      </c>
      <c r="G42" t="str">
        <v>cửa hàng</v>
      </c>
      <c r="H42" t="str">
        <v>7. Địa điểm &amp; Nơi chốn</v>
      </c>
    </row>
    <row r="43">
      <c r="A43">
        <v>42</v>
      </c>
      <c r="B43">
        <v>6</v>
      </c>
      <c r="C43" t="str">
        <v>你的手机号码是多少</v>
      </c>
      <c r="D43" t="str">
        <v>东西</v>
      </c>
      <c r="E43" t="str">
        <v>Danh từ</v>
      </c>
      <c r="F43" t="str">
        <v>dōngxi</v>
      </c>
      <c r="G43" t="str">
        <v>điều</v>
      </c>
      <c r="H43" t="str">
        <v>6. Đồ vật &amp; Công cụ</v>
      </c>
    </row>
    <row r="44">
      <c r="A44">
        <v>43</v>
      </c>
      <c r="B44">
        <v>14</v>
      </c>
      <c r="C44" t="str">
        <v>我看了一个电影</v>
      </c>
      <c r="D44" t="str">
        <v>都</v>
      </c>
      <c r="E44" t="str">
        <v>Phó từ</v>
      </c>
      <c r="F44" t="str">
        <v>dōu</v>
      </c>
      <c r="G44" t="str">
        <v>Tất cả</v>
      </c>
      <c r="H44" t="str">
        <v>14. Công cụ ngữ pháp &amp; Cấu trúc</v>
      </c>
    </row>
    <row r="45">
      <c r="A45">
        <v>44</v>
      </c>
      <c r="B45">
        <v>11</v>
      </c>
      <c r="C45" t="str">
        <v>我读大学了</v>
      </c>
      <c r="D45" t="str">
        <v>读</v>
      </c>
      <c r="E45" t="str">
        <v>Động từ</v>
      </c>
      <c r="F45" t="str">
        <v>dú</v>
      </c>
      <c r="G45" t="str">
        <v>đọc, đi học</v>
      </c>
      <c r="H45" t="str">
        <v>4. Tư duy &amp; Nhận thức</v>
      </c>
    </row>
    <row r="46">
      <c r="A46">
        <v>45</v>
      </c>
      <c r="B46">
        <v>9</v>
      </c>
      <c r="C46" t="str">
        <v>我明天上午在学校学习</v>
      </c>
      <c r="D46" t="str">
        <v>读书</v>
      </c>
      <c r="E46" t="str">
        <v>Động từ</v>
      </c>
      <c r="F46" t="str">
        <v>dúshū</v>
      </c>
      <c r="G46" t="str">
        <v>đọc</v>
      </c>
      <c r="H46" t="str">
        <v>4. Tư duy &amp; Nhận thức</v>
      </c>
    </row>
    <row r="47" xml:space="preserve">
      <c r="A47">
        <v>46</v>
      </c>
      <c r="B47">
        <v>3.11</v>
      </c>
      <c r="C47" t="str" xml:space="preserve">
        <v xml:space="preserve">我是中国人_x000d_
我读大学了</v>
      </c>
      <c r="D47" t="str">
        <v>对</v>
      </c>
      <c r="E47" t="str">
        <v>Tính từ, Giới từ</v>
      </c>
      <c r="F47" t="str">
        <v>duì</v>
      </c>
      <c r="G47" t="str" xml:space="preserve">
        <v xml:space="preserve">tính từ - đúng, phải_x000d_
giới từ - đối với...</v>
      </c>
      <c r="H47" t="str">
        <v>12. Miêu tả &amp; Đánh giá</v>
      </c>
    </row>
    <row r="48">
      <c r="A48">
        <v>47</v>
      </c>
      <c r="B48">
        <v>2</v>
      </c>
      <c r="C48" t="str">
        <v>我叫李文</v>
      </c>
      <c r="D48" t="str">
        <v>对不起</v>
      </c>
      <c r="E48" t="str">
        <v>Động từ</v>
      </c>
      <c r="F48" t="str">
        <v>duìbuqǐ</v>
      </c>
      <c r="G48" t="str">
        <v>Xin lỗi</v>
      </c>
      <c r="H48" t="str">
        <v>14. Công cụ ngữ pháp &amp; Cấu trúc</v>
      </c>
    </row>
    <row r="49" xml:space="preserve">
      <c r="A49">
        <v>48</v>
      </c>
      <c r="B49">
        <v>4.8</v>
      </c>
      <c r="C49" t="str" xml:space="preserve">
        <v xml:space="preserve">我有两个孩子_x000d_
我爸爸也在医院工作</v>
      </c>
      <c r="D49" t="str">
        <v>多</v>
      </c>
      <c r="E49" t="str">
        <v>Đại từ</v>
      </c>
      <c r="F49" t="str">
        <v>duō</v>
      </c>
      <c r="G49" t="str">
        <v>nhiều</v>
      </c>
      <c r="H49" t="str">
        <v>12. Miêu tả &amp; Đánh giá</v>
      </c>
    </row>
    <row r="50">
      <c r="A50">
        <v>49</v>
      </c>
      <c r="B50">
        <v>4</v>
      </c>
      <c r="C50" t="str">
        <v>我有两个孩子</v>
      </c>
      <c r="D50" t="str">
        <v>多少</v>
      </c>
      <c r="E50" t="str">
        <v>Đại từ</v>
      </c>
      <c r="F50" t="str">
        <v>duōshao</v>
      </c>
      <c r="G50" t="str">
        <v>Bao nhiêu</v>
      </c>
      <c r="H50" t="str">
        <v>13. Số lượng &amp; Đo lường</v>
      </c>
    </row>
    <row r="51">
      <c r="A51">
        <v>50</v>
      </c>
      <c r="B51">
        <v>4</v>
      </c>
      <c r="C51" t="str">
        <v>我有两个孩子</v>
      </c>
      <c r="D51" t="str">
        <v>儿子</v>
      </c>
      <c r="E51" t="str">
        <v>Danh từ</v>
      </c>
      <c r="F51" t="str">
        <v>érzi</v>
      </c>
      <c r="G51" t="str">
        <v>con trai</v>
      </c>
      <c r="H51" t="str">
        <v>1. Con người &amp; Các mối quan hệ</v>
      </c>
    </row>
    <row r="52">
      <c r="A52">
        <v>51</v>
      </c>
      <c r="B52">
        <v>4</v>
      </c>
      <c r="C52" t="str">
        <v>我有两个孩子</v>
      </c>
      <c r="D52" t="str">
        <v>二</v>
      </c>
      <c r="E52" t="str">
        <v>Số từ</v>
      </c>
      <c r="F52" t="str">
        <v>èr</v>
      </c>
      <c r="G52" t="str">
        <v>hai</v>
      </c>
      <c r="H52" t="str">
        <v>13. Số lượng &amp; Đo lường</v>
      </c>
    </row>
    <row r="53">
      <c r="A53">
        <v>52</v>
      </c>
      <c r="B53">
        <v>8</v>
      </c>
      <c r="C53" t="str">
        <v>我爸爸也在医院工作</v>
      </c>
      <c r="D53" t="str">
        <v>饭</v>
      </c>
      <c r="E53" t="str">
        <v>Danh từ</v>
      </c>
      <c r="F53" t="str">
        <v>fàn</v>
      </c>
      <c r="G53" t="str">
        <v>bữa ăn</v>
      </c>
      <c r="H53" t="str">
        <v>16. Đồ ăn &amp; Thức uống</v>
      </c>
    </row>
    <row r="54">
      <c r="A54">
        <v>53</v>
      </c>
      <c r="B54">
        <v>11</v>
      </c>
      <c r="C54" t="str">
        <v>我读大学了</v>
      </c>
      <c r="D54" t="str">
        <v>饭店</v>
      </c>
      <c r="E54" t="str">
        <v>Danh từ</v>
      </c>
      <c r="F54" t="str">
        <v>fàndiàn</v>
      </c>
      <c r="G54" t="str">
        <v>Nhà hàng</v>
      </c>
      <c r="H54" t="str">
        <v>7. Địa điểm &amp; Nơi chốn</v>
      </c>
    </row>
    <row r="55">
      <c r="A55">
        <v>54</v>
      </c>
      <c r="B55">
        <v>8</v>
      </c>
      <c r="C55" t="str">
        <v>我爸爸也在医院工作</v>
      </c>
      <c r="D55" t="str">
        <v>房间</v>
      </c>
      <c r="E55" t="str">
        <v>Danh từ</v>
      </c>
      <c r="F55" t="str">
        <v>fángjiān</v>
      </c>
      <c r="G55" t="str">
        <v>Phòng</v>
      </c>
      <c r="H55" t="str">
        <v>7. Địa điểm &amp; Nơi chốn</v>
      </c>
    </row>
    <row r="56">
      <c r="A56">
        <v>55</v>
      </c>
      <c r="B56">
        <v>15</v>
      </c>
      <c r="C56" t="str">
        <v>大兴机场见！</v>
      </c>
      <c r="D56" t="str">
        <v>飞机</v>
      </c>
      <c r="E56" t="str">
        <v>Danh từ</v>
      </c>
      <c r="F56" t="str">
        <v>fēijī</v>
      </c>
      <c r="G56" t="str">
        <v>máy bay</v>
      </c>
      <c r="H56" t="str">
        <v>8. Giao thông &amp; Di chuyển</v>
      </c>
    </row>
    <row r="57">
      <c r="A57">
        <v>56</v>
      </c>
      <c r="B57">
        <v>6</v>
      </c>
      <c r="C57" t="str">
        <v>你的手机号码是多少</v>
      </c>
      <c r="D57" t="str">
        <v>非常</v>
      </c>
      <c r="E57" t="str">
        <v>Phó từ</v>
      </c>
      <c r="F57" t="str">
        <v>fēicháng</v>
      </c>
      <c r="G57" t="str">
        <v>Rất</v>
      </c>
      <c r="H57" t="str">
        <v>12. Miêu tả &amp; Đánh giá</v>
      </c>
    </row>
    <row r="58">
      <c r="A58">
        <v>57</v>
      </c>
      <c r="B58">
        <v>7</v>
      </c>
      <c r="C58" t="str">
        <v>我晚上六点半下班</v>
      </c>
      <c r="D58" t="str">
        <v>分</v>
      </c>
      <c r="E58" t="str">
        <v>Lượng từ</v>
      </c>
      <c r="F58" t="str">
        <v>fēn</v>
      </c>
      <c r="G58" t="str">
        <v>lượng từ dành cho phút</v>
      </c>
      <c r="H58" t="str">
        <v>10. Thời gian</v>
      </c>
    </row>
    <row r="59">
      <c r="A59">
        <v>58</v>
      </c>
      <c r="B59">
        <v>7</v>
      </c>
      <c r="C59" t="str">
        <v>我晚上六点半下班</v>
      </c>
      <c r="D59" t="str">
        <v>分钟</v>
      </c>
      <c r="E59" t="str">
        <v>Lượng từ</v>
      </c>
      <c r="F59" t="str">
        <v>fēnzhōng</v>
      </c>
      <c r="G59" t="str">
        <v>phút</v>
      </c>
      <c r="H59" t="str">
        <v>10. Thời gian</v>
      </c>
    </row>
    <row r="60">
      <c r="A60">
        <v>59</v>
      </c>
      <c r="B60">
        <v>13</v>
      </c>
      <c r="C60" t="str">
        <v>请给我一杯茶</v>
      </c>
      <c r="D60" t="str">
        <v>服务员</v>
      </c>
      <c r="E60" t="str">
        <v>Danh từ</v>
      </c>
      <c r="F60" t="str">
        <v>fúwùyuán</v>
      </c>
      <c r="G60" t="str">
        <v>phục vụ nam</v>
      </c>
      <c r="H60" t="str">
        <v>11. Công việc &amp; Nghề nghiệp</v>
      </c>
    </row>
    <row r="61">
      <c r="A61">
        <v>60</v>
      </c>
      <c r="B61">
        <v>2</v>
      </c>
      <c r="C61" t="str">
        <v>我叫李文</v>
      </c>
      <c r="D61" t="str">
        <v>高兴</v>
      </c>
      <c r="E61" t="str">
        <v>Tính từ</v>
      </c>
      <c r="F61" t="str">
        <v>gāoxìng</v>
      </c>
      <c r="G61" t="str">
        <v>Vui mừng</v>
      </c>
      <c r="H61" t="str">
        <v>3. Cảm xúc &amp; Thái độ</v>
      </c>
    </row>
    <row r="62">
      <c r="A62">
        <v>61</v>
      </c>
      <c r="B62">
        <v>4</v>
      </c>
      <c r="C62" t="str">
        <v>我有两个孩子</v>
      </c>
      <c r="D62" t="str">
        <v>哥哥</v>
      </c>
      <c r="E62" t="str">
        <v>Danh từ</v>
      </c>
      <c r="F62" t="str">
        <v>gēge</v>
      </c>
      <c r="G62" t="str">
        <v>anh trai</v>
      </c>
      <c r="H62" t="str">
        <v>1. Con người &amp; Các mối quan hệ</v>
      </c>
    </row>
    <row r="63">
      <c r="A63">
        <v>62</v>
      </c>
      <c r="B63">
        <v>9</v>
      </c>
      <c r="C63" t="str">
        <v>我明天上午在学校学习</v>
      </c>
      <c r="D63" t="str">
        <v>歌</v>
      </c>
      <c r="E63" t="str">
        <v>Danh từ</v>
      </c>
      <c r="F63" t="str">
        <v>gē</v>
      </c>
      <c r="G63" t="str">
        <v>Bài hát</v>
      </c>
      <c r="H63" t="str">
        <v>5. Đời sống sinh hoạt</v>
      </c>
    </row>
    <row r="64">
      <c r="A64">
        <v>63</v>
      </c>
      <c r="B64">
        <v>4</v>
      </c>
      <c r="C64" t="str">
        <v>我有两个孩子</v>
      </c>
      <c r="D64" t="str">
        <v>个</v>
      </c>
      <c r="E64" t="str">
        <v>Lượng từ</v>
      </c>
      <c r="F64" t="str">
        <v>gè</v>
      </c>
      <c r="G64" t="str">
        <v>cái</v>
      </c>
      <c r="H64" t="str">
        <v>13. Số lượng &amp; Đo lường</v>
      </c>
    </row>
    <row r="65">
      <c r="A65">
        <v>64</v>
      </c>
      <c r="B65">
        <v>13</v>
      </c>
      <c r="C65" t="str">
        <v>请给我一杯茶</v>
      </c>
      <c r="D65" t="str">
        <v>给</v>
      </c>
      <c r="E65" t="str">
        <v>Động từ</v>
      </c>
      <c r="F65" t="str">
        <v>gěi</v>
      </c>
      <c r="G65" t="str">
        <v>Đưa cho</v>
      </c>
      <c r="H65" t="str">
        <v>5. Đời sống sinh hoạt</v>
      </c>
    </row>
    <row r="66" xml:space="preserve">
      <c r="A66">
        <v>65</v>
      </c>
      <c r="B66">
        <v>3.8</v>
      </c>
      <c r="C66" t="str" xml:space="preserve">
        <v xml:space="preserve">我是中国人_x000d_
我爸爸也在医院工作</v>
      </c>
      <c r="D66" t="str">
        <v>工作</v>
      </c>
      <c r="E66" t="str">
        <v>Danh từ</v>
      </c>
      <c r="F66" t="str">
        <v>gōngzuò</v>
      </c>
      <c r="G66" t="str">
        <v>Công việc</v>
      </c>
      <c r="H66" t="str">
        <v>11. Công việc &amp; Nghề nghiệp</v>
      </c>
    </row>
    <row r="67">
      <c r="A67">
        <v>66</v>
      </c>
      <c r="B67">
        <v>12</v>
      </c>
      <c r="C67" t="str">
        <v>昨天下雪了</v>
      </c>
      <c r="D67" t="str">
        <v>公司</v>
      </c>
      <c r="E67" t="str">
        <v>Danh từ</v>
      </c>
      <c r="F67" t="str">
        <v>gōngsī</v>
      </c>
      <c r="G67" t="str">
        <v>công ty</v>
      </c>
      <c r="H67" t="str">
        <v>7. Địa điểm &amp; Nơi chốn</v>
      </c>
    </row>
    <row r="68">
      <c r="A68">
        <v>67</v>
      </c>
      <c r="B68">
        <v>9</v>
      </c>
      <c r="C68" t="str">
        <v>我明天上午在学校学习</v>
      </c>
      <c r="D68" t="str">
        <v>狗</v>
      </c>
      <c r="E68" t="str">
        <v>Danh từ</v>
      </c>
      <c r="F68" t="str">
        <v>gǒu</v>
      </c>
      <c r="G68" t="str">
        <v>chó</v>
      </c>
      <c r="H68" t="str">
        <v>15. Tự nhiên</v>
      </c>
    </row>
    <row r="69">
      <c r="A69">
        <v>68</v>
      </c>
      <c r="B69">
        <v>10</v>
      </c>
      <c r="C69" t="str">
        <v>这儿的苹果真便宜</v>
      </c>
      <c r="D69" t="str">
        <v>贵</v>
      </c>
      <c r="E69" t="str">
        <v>Tính từ</v>
      </c>
      <c r="F69" t="str">
        <v>guì</v>
      </c>
      <c r="G69" t="str">
        <v>đắt</v>
      </c>
      <c r="H69" t="str">
        <v>12. Miêu tả &amp; Đánh giá</v>
      </c>
    </row>
    <row r="70">
      <c r="A70">
        <v>69</v>
      </c>
      <c r="B70">
        <v>3</v>
      </c>
      <c r="C70" t="str">
        <v>我是中国人</v>
      </c>
      <c r="D70" t="str">
        <v>国</v>
      </c>
      <c r="E70" t="str">
        <v>Danh từ</v>
      </c>
      <c r="F70" t="str">
        <v>guó</v>
      </c>
      <c r="G70" t="str">
        <v>quốc gia</v>
      </c>
      <c r="H70" t="str">
        <v>7. Địa điểm &amp; Nơi chốn</v>
      </c>
    </row>
    <row r="71">
      <c r="A71">
        <v>70</v>
      </c>
      <c r="B71">
        <v>3</v>
      </c>
      <c r="C71" t="str">
        <v>我是中国人</v>
      </c>
      <c r="D71" t="str">
        <v>还</v>
      </c>
      <c r="E71" t="str">
        <v>Phó từ</v>
      </c>
      <c r="F71" t="str">
        <v>hái</v>
      </c>
      <c r="G71" t="str">
        <v>vẫn</v>
      </c>
      <c r="H71" t="str">
        <v>14. Công cụ ngữ pháp &amp; Cấu trúc</v>
      </c>
    </row>
    <row r="72">
      <c r="A72">
        <v>71</v>
      </c>
      <c r="B72">
        <v>4</v>
      </c>
      <c r="C72" t="str">
        <v>我有两个孩子</v>
      </c>
      <c r="D72" t="str">
        <v>孩子</v>
      </c>
      <c r="E72" t="str">
        <v>Danh từ</v>
      </c>
      <c r="F72" t="str">
        <v>háizi</v>
      </c>
      <c r="G72" t="str">
        <v>đứa trẻ</v>
      </c>
      <c r="H72" t="str">
        <v>1. Con người &amp; Các mối quan hệ</v>
      </c>
    </row>
    <row r="73">
      <c r="A73">
        <v>72</v>
      </c>
      <c r="B73">
        <v>1</v>
      </c>
      <c r="C73" t="str">
        <v>AI 小语，你好！</v>
      </c>
      <c r="D73" t="str">
        <v>好</v>
      </c>
      <c r="E73" t="str">
        <v>Tính từ</v>
      </c>
      <c r="F73" t="str">
        <v>hǎo</v>
      </c>
      <c r="G73" t="str">
        <v>Tốt</v>
      </c>
      <c r="H73" t="str">
        <v>12. Miêu tả &amp; Đánh giá</v>
      </c>
    </row>
    <row r="74">
      <c r="A74">
        <v>73</v>
      </c>
      <c r="B74">
        <v>6</v>
      </c>
      <c r="C74" t="str">
        <v>你的手机号码是多少</v>
      </c>
      <c r="D74" t="str">
        <v>好吃</v>
      </c>
      <c r="E74" t="str">
        <v>Tính từ</v>
      </c>
      <c r="F74" t="str">
        <v>hǎochī</v>
      </c>
      <c r="G74" t="str">
        <v>ngon</v>
      </c>
      <c r="H74" t="str">
        <v>16. Đồ ăn &amp; Thức uống</v>
      </c>
    </row>
    <row r="75">
      <c r="A75">
        <v>74</v>
      </c>
      <c r="B75">
        <v>5</v>
      </c>
      <c r="C75" t="str">
        <v>今天我休息</v>
      </c>
      <c r="D75" t="str">
        <v>好看</v>
      </c>
      <c r="E75" t="str">
        <v>Tính từ</v>
      </c>
      <c r="F75" t="str">
        <v>hǎokàn</v>
      </c>
      <c r="G75" t="str">
        <v>Đẹp</v>
      </c>
      <c r="H75" t="str">
        <v>12. Miêu tả &amp; Đánh giá</v>
      </c>
    </row>
    <row r="76">
      <c r="A76">
        <v>75</v>
      </c>
      <c r="B76">
        <v>9</v>
      </c>
      <c r="C76" t="str">
        <v>我明天上午在学校学习</v>
      </c>
      <c r="D76" t="str">
        <v>好听</v>
      </c>
      <c r="E76" t="str">
        <v>Tính từ</v>
      </c>
      <c r="F76" t="str">
        <v>hǎotīng</v>
      </c>
      <c r="G76" t="str">
        <v>Nghe hay đấy.</v>
      </c>
      <c r="H76" t="str">
        <v>12. Miêu tả &amp; Đánh giá</v>
      </c>
    </row>
    <row r="77">
      <c r="A77">
        <v>76</v>
      </c>
      <c r="B77">
        <v>15</v>
      </c>
      <c r="C77" t="str">
        <v>大兴机场见！</v>
      </c>
      <c r="D77" t="str">
        <v>好玩儿</v>
      </c>
      <c r="E77" t="str">
        <v>Tính từ</v>
      </c>
      <c r="F77" t="str">
        <v>hǎowánr</v>
      </c>
      <c r="G77" t="str">
        <v>Vui vẻ</v>
      </c>
      <c r="H77" t="str">
        <v>12. Miêu tả &amp; Đánh giá</v>
      </c>
    </row>
    <row r="78">
      <c r="A78">
        <v>77</v>
      </c>
      <c r="B78">
        <v>5.6</v>
      </c>
      <c r="C78" t="str">
        <v>你的手机号码是多少</v>
      </c>
      <c r="D78" t="str">
        <v>号</v>
      </c>
      <c r="E78" t="str">
        <v>Lượng từ, Danh từ</v>
      </c>
      <c r="F78" t="str">
        <v>hào</v>
      </c>
      <c r="G78" t="str">
        <v>lượng từ: dùng cho ngày (ngày tháng)；danh từ: số</v>
      </c>
      <c r="H78" t="str">
        <v>13. Số lượng &amp; Đo lường</v>
      </c>
    </row>
    <row r="79">
      <c r="A79">
        <v>78</v>
      </c>
      <c r="B79">
        <v>12</v>
      </c>
      <c r="C79" t="str">
        <v>昨天下雪了</v>
      </c>
      <c r="D79" t="str">
        <v>喝</v>
      </c>
      <c r="E79" t="str">
        <v>Động từ</v>
      </c>
      <c r="F79" t="str">
        <v>hē</v>
      </c>
      <c r="G79" t="str">
        <v>uống</v>
      </c>
      <c r="H79" t="str">
        <v>5. Đời sống sinh hoạt</v>
      </c>
    </row>
    <row r="80">
      <c r="A80">
        <v>79</v>
      </c>
      <c r="B80">
        <v>4.9</v>
      </c>
      <c r="C80" t="str">
        <v>我明天上午在学校学习</v>
      </c>
      <c r="D80" t="str">
        <v>和</v>
      </c>
      <c r="E80" t="str">
        <v>Liên từ, Giới từ</v>
      </c>
      <c r="F80" t="str">
        <v>hé</v>
      </c>
      <c r="G80" t="str">
        <v>Và</v>
      </c>
      <c r="H80" t="str">
        <v>14. Công cụ ngữ pháp &amp; Cấu trúc</v>
      </c>
    </row>
    <row r="81">
      <c r="A81">
        <v>80</v>
      </c>
      <c r="B81">
        <v>2</v>
      </c>
      <c r="C81" t="str">
        <v>我叫李文</v>
      </c>
      <c r="D81" t="str">
        <v>很</v>
      </c>
      <c r="E81" t="str">
        <v>Phó từ</v>
      </c>
      <c r="F81" t="str">
        <v>hěn</v>
      </c>
      <c r="G81" t="str">
        <v>rất</v>
      </c>
      <c r="H81" t="str">
        <v>14. Công cụ ngữ pháp &amp; Cấu trúc</v>
      </c>
    </row>
    <row r="82">
      <c r="A82">
        <v>81</v>
      </c>
      <c r="B82">
        <v>7</v>
      </c>
      <c r="C82" t="str">
        <v>我晚上六点半下班</v>
      </c>
      <c r="D82" t="str">
        <v>后</v>
      </c>
      <c r="E82" t="str">
        <v>Danh từ</v>
      </c>
      <c r="F82" t="str">
        <v>hòu</v>
      </c>
      <c r="G82" t="str">
        <v>mặt sau</v>
      </c>
      <c r="H82" t="str">
        <v>9. Không gian &amp; Vị trí</v>
      </c>
    </row>
    <row r="83">
      <c r="A83">
        <v>82</v>
      </c>
      <c r="B83">
        <v>12</v>
      </c>
      <c r="C83" t="str">
        <v>昨天下雪了</v>
      </c>
      <c r="D83" t="str">
        <v>回</v>
      </c>
      <c r="E83" t="str">
        <v>Động từ</v>
      </c>
      <c r="F83" t="str">
        <v>huí</v>
      </c>
      <c r="G83" t="str">
        <v>trở lại</v>
      </c>
      <c r="H83" t="str">
        <v>8. Giao thông &amp; Di chuyển</v>
      </c>
    </row>
    <row r="84">
      <c r="A84">
        <v>83</v>
      </c>
      <c r="B84">
        <v>5</v>
      </c>
      <c r="C84" t="str">
        <v>今天我休息</v>
      </c>
      <c r="D84" t="str">
        <v>会</v>
      </c>
      <c r="E84" t="str">
        <v>Động từ năng nguyện</v>
      </c>
      <c r="F84" t="str">
        <v>huì</v>
      </c>
      <c r="G84" t="str">
        <v>biết</v>
      </c>
      <c r="H84" t="str">
        <v>14. Công cụ ngữ pháp &amp; Cấu trúc</v>
      </c>
    </row>
    <row r="85">
      <c r="A85">
        <v>84</v>
      </c>
      <c r="B85">
        <v>14</v>
      </c>
      <c r="C85" t="str">
        <v>我看了一个电影</v>
      </c>
      <c r="D85" t="str">
        <v>火车</v>
      </c>
      <c r="E85" t="str">
        <v>Danh từ</v>
      </c>
      <c r="F85" t="str">
        <v>huǒchē</v>
      </c>
      <c r="G85" t="str">
        <v>xe lửa</v>
      </c>
      <c r="H85" t="str">
        <v>8. Giao thông &amp; Di chuyển</v>
      </c>
    </row>
    <row r="86">
      <c r="A86">
        <v>85</v>
      </c>
      <c r="B86">
        <v>15</v>
      </c>
      <c r="C86" t="str">
        <v>大兴机场见！</v>
      </c>
      <c r="D86" t="str">
        <v>机场</v>
      </c>
      <c r="E86" t="str">
        <v>Danh từ</v>
      </c>
      <c r="F86" t="str">
        <v>jīchǎng</v>
      </c>
      <c r="G86" t="str">
        <v>Sân bay</v>
      </c>
      <c r="H86" t="str">
        <v>7. Địa điểm &amp; Nơi chốn</v>
      </c>
    </row>
    <row r="87">
      <c r="A87">
        <v>86</v>
      </c>
      <c r="B87">
        <v>13</v>
      </c>
      <c r="C87" t="str">
        <v>请给我一杯茶</v>
      </c>
      <c r="D87" t="str">
        <v>鸡蛋</v>
      </c>
      <c r="E87" t="str">
        <v>Danh từ</v>
      </c>
      <c r="F87" t="str">
        <v>jīdàn</v>
      </c>
      <c r="G87" t="str">
        <v>trứng</v>
      </c>
      <c r="H87" t="str">
        <v>16. Đồ ăn &amp; Thức uống</v>
      </c>
    </row>
    <row r="88" xml:space="preserve">
      <c r="A88">
        <v>87</v>
      </c>
      <c r="B88">
        <v>4.15</v>
      </c>
      <c r="C88" t="str" xml:space="preserve">
        <v xml:space="preserve">我有两个孩子_x000d_
大兴机场见！</v>
      </c>
      <c r="D88" t="str">
        <v>几</v>
      </c>
      <c r="E88" t="str">
        <v>Đại từ, Số từ</v>
      </c>
      <c r="F88" t="str">
        <v>jǐ</v>
      </c>
      <c r="G88" t="str">
        <v>bao nhiêu; một vài</v>
      </c>
      <c r="H88" t="str">
        <v>13. Số lượng &amp; Đo lường</v>
      </c>
    </row>
    <row r="89">
      <c r="A89">
        <v>88</v>
      </c>
      <c r="B89">
        <v>4</v>
      </c>
      <c r="C89" t="str">
        <v>我有两个孩子</v>
      </c>
      <c r="D89" t="str">
        <v>家</v>
      </c>
      <c r="E89" t="str">
        <v>Danh từ, Lượng từ</v>
      </c>
      <c r="F89" t="str">
        <v>jiā</v>
      </c>
      <c r="G89" t="str">
        <v>gia đình; lượng từ cho cửa hàng</v>
      </c>
      <c r="H89" t="str">
        <v>7. Địa điểm &amp; Nơi chốn</v>
      </c>
    </row>
    <row r="90">
      <c r="A90">
        <v>89</v>
      </c>
      <c r="B90">
        <v>15</v>
      </c>
      <c r="C90" t="str">
        <v>大兴机场见！</v>
      </c>
      <c r="D90" t="str">
        <v>家人</v>
      </c>
      <c r="E90" t="str">
        <v>Danh từ</v>
      </c>
      <c r="F90" t="str">
        <v>jiārén</v>
      </c>
      <c r="G90" t="str">
        <v>gia đình</v>
      </c>
      <c r="H90" t="str">
        <v>1. Con người &amp; Các mối quan hệ</v>
      </c>
    </row>
    <row r="91">
      <c r="A91">
        <v>90</v>
      </c>
      <c r="B91">
        <v>7</v>
      </c>
      <c r="C91" t="str">
        <v>我晚上六点半下班</v>
      </c>
      <c r="D91" t="str">
        <v>见</v>
      </c>
      <c r="E91" t="str">
        <v>Động từ</v>
      </c>
      <c r="F91" t="str">
        <v>jiàn</v>
      </c>
      <c r="G91" t="str">
        <v>Nhìn thấy</v>
      </c>
      <c r="H91" t="str">
        <v>4. Tư duy &amp; Nhận thức</v>
      </c>
    </row>
    <row r="92">
      <c r="A92">
        <v>91</v>
      </c>
      <c r="B92">
        <v>10</v>
      </c>
      <c r="C92" t="str">
        <v>这儿的苹果真便宜</v>
      </c>
      <c r="D92" t="str">
        <v>件</v>
      </c>
      <c r="E92" t="str">
        <v>Lượng từ</v>
      </c>
      <c r="F92" t="str">
        <v>jiàn</v>
      </c>
      <c r="G92" t="str">
        <v>mảnh</v>
      </c>
      <c r="H92" t="str">
        <v>6. Đồ vật &amp; Công cụ</v>
      </c>
    </row>
    <row r="93">
      <c r="A93">
        <v>92</v>
      </c>
      <c r="B93">
        <v>5</v>
      </c>
      <c r="C93" t="str">
        <v>今天我休息</v>
      </c>
      <c r="D93" t="str">
        <v>饺子</v>
      </c>
      <c r="E93" t="str">
        <v>Danh từ</v>
      </c>
      <c r="F93" t="str">
        <v>jiǎozi</v>
      </c>
      <c r="G93" t="str">
        <v>bánh bao</v>
      </c>
      <c r="H93" t="str">
        <v>16. Đồ ăn &amp; Thức uống</v>
      </c>
    </row>
    <row r="94">
      <c r="A94">
        <v>93</v>
      </c>
      <c r="B94">
        <v>2</v>
      </c>
      <c r="C94" t="str">
        <v>我叫李文</v>
      </c>
      <c r="D94" t="str">
        <v>叫</v>
      </c>
      <c r="E94" t="str">
        <v>Động từ</v>
      </c>
      <c r="F94" t="str">
        <v>jiào</v>
      </c>
      <c r="G94" t="str">
        <v>Gọi</v>
      </c>
      <c r="H94" t="str">
        <v>4. Tư duy &amp; Nhận thức</v>
      </c>
    </row>
    <row r="95">
      <c r="A95">
        <v>94</v>
      </c>
      <c r="B95">
        <v>15</v>
      </c>
      <c r="C95" t="str">
        <v>大兴机场见！</v>
      </c>
      <c r="D95" t="str">
        <v>接</v>
      </c>
      <c r="E95" t="str">
        <v>Động từ</v>
      </c>
      <c r="F95" t="str">
        <v>jiē</v>
      </c>
      <c r="G95" t="str">
        <v>tiếp đón, tiếp đãi</v>
      </c>
      <c r="H95" t="str">
        <v>1. Con người &amp; Các mối quan hệ</v>
      </c>
    </row>
    <row r="96">
      <c r="A96">
        <v>95</v>
      </c>
      <c r="B96">
        <v>3</v>
      </c>
      <c r="C96" t="str">
        <v>我是中国人</v>
      </c>
      <c r="D96" t="str">
        <v>姐姐</v>
      </c>
      <c r="E96" t="str">
        <v>Danh từ</v>
      </c>
      <c r="F96" t="str">
        <v>jiějie</v>
      </c>
      <c r="G96" t="str">
        <v>chị gái</v>
      </c>
      <c r="H96" t="str">
        <v>1. Con người &amp; Các mối quan hệ</v>
      </c>
    </row>
    <row r="97">
      <c r="A97">
        <v>96</v>
      </c>
      <c r="B97">
        <v>10</v>
      </c>
      <c r="C97" t="str">
        <v>这儿的苹果真便宜</v>
      </c>
      <c r="D97" t="str">
        <v>斤</v>
      </c>
      <c r="E97" t="str">
        <v>Lượng từ</v>
      </c>
      <c r="F97" t="str">
        <v>jīn</v>
      </c>
      <c r="G97" t="str">
        <v>cân</v>
      </c>
      <c r="H97" t="str">
        <v>13. Số lượng &amp; Đo lường</v>
      </c>
    </row>
    <row r="98">
      <c r="A98">
        <v>97</v>
      </c>
      <c r="B98">
        <v>4</v>
      </c>
      <c r="C98" t="str">
        <v>我有两个孩子</v>
      </c>
      <c r="D98" t="str">
        <v>今年</v>
      </c>
      <c r="E98" t="str">
        <v>Danh từ</v>
      </c>
      <c r="F98" t="str">
        <v>jīnnián</v>
      </c>
      <c r="G98" t="str">
        <v>Năm nay</v>
      </c>
      <c r="H98" t="str">
        <v>10. Thời gian</v>
      </c>
    </row>
    <row r="99">
      <c r="A99">
        <v>98</v>
      </c>
      <c r="B99">
        <v>5</v>
      </c>
      <c r="C99" t="str">
        <v>今天我休息</v>
      </c>
      <c r="D99" t="str">
        <v>今天</v>
      </c>
      <c r="E99" t="str">
        <v>Danh từ</v>
      </c>
      <c r="F99" t="str">
        <v>jīntiān</v>
      </c>
      <c r="G99" t="str">
        <v>Hôm nay</v>
      </c>
      <c r="H99" t="str">
        <v>10. Thời gian</v>
      </c>
    </row>
    <row r="100">
      <c r="A100">
        <v>99</v>
      </c>
      <c r="B100">
        <v>4</v>
      </c>
      <c r="C100" t="str">
        <v>我有两个孩子</v>
      </c>
      <c r="D100" t="str">
        <v>九</v>
      </c>
      <c r="E100" t="str">
        <v>Đại từ</v>
      </c>
      <c r="F100" t="str">
        <v>jiǔ</v>
      </c>
      <c r="G100" t="str">
        <v>Chín</v>
      </c>
      <c r="H100" t="str">
        <v>13. Số lượng &amp; Đo lường</v>
      </c>
    </row>
    <row r="101">
      <c r="A101">
        <v>100</v>
      </c>
      <c r="B101">
        <v>12</v>
      </c>
      <c r="C101" t="str">
        <v>昨天下雪了</v>
      </c>
      <c r="D101" t="str">
        <v>觉得</v>
      </c>
      <c r="E101" t="str">
        <v>Động từ</v>
      </c>
      <c r="F101" t="str">
        <v>juéde</v>
      </c>
      <c r="G101" t="str">
        <v>cảm thấy</v>
      </c>
      <c r="H101" t="str">
        <v>3. Cảm xúc &amp; Thái độ</v>
      </c>
    </row>
    <row r="102">
      <c r="A102">
        <v>101</v>
      </c>
      <c r="B102">
        <v>14</v>
      </c>
      <c r="C102" t="str">
        <v>我看了一个电影</v>
      </c>
      <c r="D102" t="str">
        <v>开</v>
      </c>
      <c r="E102" t="str">
        <v>Động từ</v>
      </c>
      <c r="F102" t="str">
        <v>kāi</v>
      </c>
      <c r="G102" t="str">
        <v>mở, khởi động</v>
      </c>
      <c r="H102" t="str">
        <v>5. Đời sống sinh hoạt</v>
      </c>
    </row>
    <row r="103">
      <c r="A103">
        <v>102</v>
      </c>
      <c r="B103">
        <v>11</v>
      </c>
      <c r="C103" t="str">
        <v>我读大学了</v>
      </c>
      <c r="D103" t="str">
        <v>开车</v>
      </c>
      <c r="E103" t="str">
        <v>Động từ</v>
      </c>
      <c r="F103" t="str">
        <v>kāichē</v>
      </c>
      <c r="G103" t="str">
        <v>lái xe</v>
      </c>
      <c r="H103" t="str">
        <v>8. Giao thông &amp; Di chuyển</v>
      </c>
    </row>
    <row r="104">
      <c r="A104">
        <v>103</v>
      </c>
      <c r="B104">
        <v>7</v>
      </c>
      <c r="C104" t="str">
        <v>我晚上六点半下班</v>
      </c>
      <c r="D104" t="str">
        <v>看</v>
      </c>
      <c r="E104" t="str">
        <v>Động từ</v>
      </c>
      <c r="F104" t="str">
        <v>kàn</v>
      </c>
      <c r="G104" t="str">
        <v>Nhìn</v>
      </c>
      <c r="H104" t="str">
        <v>4. Tư duy &amp; Nhận thức</v>
      </c>
    </row>
    <row r="105">
      <c r="A105">
        <v>104</v>
      </c>
      <c r="B105">
        <v>12</v>
      </c>
      <c r="C105" t="str">
        <v>昨天下雪了</v>
      </c>
      <c r="D105" t="str">
        <v>看病</v>
      </c>
      <c r="E105" t="str">
        <v>Động từ</v>
      </c>
      <c r="F105" t="str">
        <v>kànbìng</v>
      </c>
      <c r="G105" t="str">
        <v>đi khám bác sĩ</v>
      </c>
      <c r="H105" t="str">
        <v>2. Cơ thể &amp; Sức khỏe</v>
      </c>
    </row>
    <row r="106">
      <c r="A106">
        <v>105</v>
      </c>
      <c r="B106">
        <v>8</v>
      </c>
      <c r="C106" t="str">
        <v>我爸爸也在医院工作</v>
      </c>
      <c r="D106" t="str">
        <v>看见</v>
      </c>
      <c r="E106" t="str">
        <v>Động từ</v>
      </c>
      <c r="F106" t="str">
        <v>kànjiàn</v>
      </c>
      <c r="G106" t="str">
        <v>nhìn thấy</v>
      </c>
      <c r="H106" t="str">
        <v>4. Tư duy &amp; Nhận thức</v>
      </c>
    </row>
    <row r="107">
      <c r="A107">
        <v>106</v>
      </c>
      <c r="B107">
        <v>13</v>
      </c>
      <c r="C107" t="str">
        <v>请给我一杯茶</v>
      </c>
      <c r="D107" t="str">
        <v>可以</v>
      </c>
      <c r="E107" t="str">
        <v>Động từ năng nguyện</v>
      </c>
      <c r="F107" t="str">
        <v>kěyǐ</v>
      </c>
      <c r="G107" t="str">
        <v>Có thể</v>
      </c>
      <c r="H107" t="str">
        <v>14. Công cụ ngữ pháp &amp; Cấu trúc</v>
      </c>
    </row>
    <row r="108">
      <c r="A108">
        <v>107</v>
      </c>
      <c r="B108">
        <v>4</v>
      </c>
      <c r="C108" t="str">
        <v>我有两个孩子</v>
      </c>
      <c r="D108" t="str">
        <v>口</v>
      </c>
      <c r="E108" t="str">
        <v>Lượng từ</v>
      </c>
      <c r="F108" t="str">
        <v>kǒu</v>
      </c>
      <c r="G108" t="str">
        <v>người; thành viên</v>
      </c>
      <c r="H108" t="str">
        <v>13. Số lượng &amp; Đo lường</v>
      </c>
    </row>
    <row r="109">
      <c r="A109">
        <v>108</v>
      </c>
      <c r="B109">
        <v>10</v>
      </c>
      <c r="C109" t="str">
        <v>这儿的苹果真便宜</v>
      </c>
      <c r="D109" t="str">
        <v>块</v>
      </c>
      <c r="E109" t="str">
        <v>Lượng từ</v>
      </c>
      <c r="F109" t="str">
        <v>kuài</v>
      </c>
      <c r="G109" t="str">
        <v>lượng từ dùng cho tiền giấy</v>
      </c>
      <c r="H109" t="str">
        <v>13. Số lượng &amp; Đo lường</v>
      </c>
    </row>
    <row r="110">
      <c r="A110">
        <v>109</v>
      </c>
      <c r="B110">
        <v>12</v>
      </c>
      <c r="C110" t="str">
        <v>昨天下雪了</v>
      </c>
      <c r="D110" t="str">
        <v>来</v>
      </c>
      <c r="E110" t="str">
        <v>Động từ</v>
      </c>
      <c r="F110" t="str">
        <v>lái</v>
      </c>
      <c r="G110" t="str">
        <v>Đến</v>
      </c>
      <c r="H110" t="str">
        <v>8. Giao thông &amp; Di chuyển</v>
      </c>
    </row>
    <row r="111">
      <c r="A111">
        <v>110</v>
      </c>
      <c r="B111">
        <v>1</v>
      </c>
      <c r="C111" t="str">
        <v>AI 小语，你好！</v>
      </c>
      <c r="D111" t="str">
        <v>老师</v>
      </c>
      <c r="E111" t="str">
        <v>Danh từ</v>
      </c>
      <c r="F111" t="str">
        <v>lǎoshī</v>
      </c>
      <c r="G111" t="str">
        <v>giáo viên</v>
      </c>
      <c r="H111" t="str">
        <v>11. Công việc &amp; Nghề nghiệp</v>
      </c>
    </row>
    <row r="112" xml:space="preserve">
      <c r="A112">
        <v>111</v>
      </c>
      <c r="B112">
        <v>12.14</v>
      </c>
      <c r="C112" t="str" xml:space="preserve">
        <v xml:space="preserve">我看了一个电影_x000d_
昨天下雪了</v>
      </c>
      <c r="D112" t="str">
        <v>了</v>
      </c>
      <c r="E112" t="str">
        <v>Trợ từ</v>
      </c>
      <c r="F112" t="str">
        <v>le</v>
      </c>
      <c r="G112" t="str">
        <v>Đã</v>
      </c>
      <c r="H112" t="str">
        <v>14. Công cụ ngữ pháp &amp; Cấu trúc</v>
      </c>
    </row>
    <row r="113">
      <c r="A113">
        <v>112</v>
      </c>
      <c r="B113">
        <v>12</v>
      </c>
      <c r="C113" t="str">
        <v>昨天下雪了</v>
      </c>
      <c r="D113" t="str">
        <v>冷</v>
      </c>
      <c r="E113" t="str">
        <v>Tính từ</v>
      </c>
      <c r="F113" t="str">
        <v>lěng</v>
      </c>
      <c r="G113" t="str">
        <v>lạnh lẽo</v>
      </c>
      <c r="H113" t="str">
        <v>12. Miêu tả &amp; Đánh giá</v>
      </c>
    </row>
    <row r="114">
      <c r="A114">
        <v>113</v>
      </c>
      <c r="B114">
        <v>7</v>
      </c>
      <c r="C114" t="str">
        <v>我晚上六点半下班</v>
      </c>
      <c r="D114" t="str">
        <v>里</v>
      </c>
      <c r="E114" t="str">
        <v>Danh từ</v>
      </c>
      <c r="F114" t="str">
        <v>lǐ</v>
      </c>
      <c r="G114" t="str">
        <v>bên trong</v>
      </c>
      <c r="H114" t="str">
        <v>9. Không gian &amp; Vị trí</v>
      </c>
    </row>
    <row r="115">
      <c r="A115">
        <v>114</v>
      </c>
      <c r="B115">
        <v>4</v>
      </c>
      <c r="C115" t="str">
        <v>我有两个孩子</v>
      </c>
      <c r="D115" t="str">
        <v>两</v>
      </c>
      <c r="E115" t="str">
        <v>Số từ</v>
      </c>
      <c r="F115" t="str">
        <v>liǎng</v>
      </c>
      <c r="G115" t="str">
        <v>hai</v>
      </c>
      <c r="H115" t="str">
        <v>13. Số lượng &amp; Đo lường</v>
      </c>
    </row>
    <row r="116">
      <c r="A116">
        <v>115</v>
      </c>
      <c r="B116">
        <v>4</v>
      </c>
      <c r="C116" t="str">
        <v>我有两个孩子</v>
      </c>
      <c r="D116" t="str">
        <v>零</v>
      </c>
      <c r="E116" t="str">
        <v>Số từ</v>
      </c>
      <c r="F116" t="str">
        <v>líng</v>
      </c>
      <c r="G116" t="str">
        <v>số không</v>
      </c>
      <c r="H116" t="str">
        <v>13. Số lượng &amp; Đo lường</v>
      </c>
    </row>
    <row r="117">
      <c r="A117">
        <v>116</v>
      </c>
      <c r="B117">
        <v>4</v>
      </c>
      <c r="C117" t="str">
        <v>我有两个孩子</v>
      </c>
      <c r="D117" t="str">
        <v>六</v>
      </c>
      <c r="E117" t="str">
        <v>Số từ</v>
      </c>
      <c r="F117" t="str">
        <v>liù</v>
      </c>
      <c r="G117" t="str">
        <v>sáu</v>
      </c>
      <c r="H117" t="str">
        <v>13. Số lượng &amp; Đo lường</v>
      </c>
    </row>
    <row r="118">
      <c r="A118">
        <v>117</v>
      </c>
      <c r="B118">
        <v>4</v>
      </c>
      <c r="C118" t="str">
        <v>我有两个孩子</v>
      </c>
      <c r="D118" t="str">
        <v>妈妈</v>
      </c>
      <c r="E118" t="str">
        <v>Danh từ</v>
      </c>
      <c r="F118" t="str">
        <v>māma</v>
      </c>
      <c r="G118" t="str">
        <v>Mẹ</v>
      </c>
      <c r="H118" t="str">
        <v>1. Con người &amp; Các mối quan hệ</v>
      </c>
    </row>
    <row r="119">
      <c r="A119">
        <v>118</v>
      </c>
      <c r="B119">
        <v>3</v>
      </c>
      <c r="C119" t="str">
        <v>我是中国人</v>
      </c>
      <c r="D119" t="str">
        <v>吗</v>
      </c>
      <c r="E119" t="str">
        <v>Trợ từ</v>
      </c>
      <c r="F119" t="str">
        <v>ma</v>
      </c>
      <c r="G119" t="str">
        <v>Ma</v>
      </c>
      <c r="H119" t="str">
        <v>14. Công cụ ngữ pháp &amp; Cấu trúc</v>
      </c>
    </row>
    <row r="120">
      <c r="A120">
        <v>119</v>
      </c>
      <c r="B120">
        <v>6</v>
      </c>
      <c r="C120" t="str">
        <v>你的手机号码是多少</v>
      </c>
      <c r="D120" t="str">
        <v>买</v>
      </c>
      <c r="E120" t="str">
        <v>Động từ</v>
      </c>
      <c r="F120" t="str">
        <v>mǎi</v>
      </c>
      <c r="G120" t="str">
        <v>mua</v>
      </c>
      <c r="H120" t="str">
        <v>5. Đời sống sinh hoạt</v>
      </c>
    </row>
    <row r="121">
      <c r="A121">
        <v>120</v>
      </c>
      <c r="B121">
        <v>13</v>
      </c>
      <c r="C121" t="str">
        <v>请给我一杯茶</v>
      </c>
      <c r="D121" t="str">
        <v>卖</v>
      </c>
      <c r="E121" t="str">
        <v>Động từ</v>
      </c>
      <c r="F121" t="str">
        <v>mài</v>
      </c>
      <c r="G121" t="str">
        <v>Bán</v>
      </c>
      <c r="H121" t="str">
        <v>5. Đời sống sinh hoạt</v>
      </c>
    </row>
    <row r="122">
      <c r="A122">
        <v>121</v>
      </c>
      <c r="B122">
        <v>3</v>
      </c>
      <c r="C122" t="str">
        <v>我是中国人</v>
      </c>
      <c r="D122" t="str">
        <v>忙</v>
      </c>
      <c r="E122" t="str">
        <v>Tính từ</v>
      </c>
      <c r="F122" t="str">
        <v>máng</v>
      </c>
      <c r="G122" t="str">
        <v>bận</v>
      </c>
      <c r="H122" t="str">
        <v>12. Miêu tả &amp; Đánh giá</v>
      </c>
    </row>
    <row r="123">
      <c r="A123">
        <v>122</v>
      </c>
      <c r="B123">
        <v>8</v>
      </c>
      <c r="C123" t="str">
        <v>我爸爸也在医院工作</v>
      </c>
      <c r="D123" t="str">
        <v>猫</v>
      </c>
      <c r="E123" t="str">
        <v>Danh từ</v>
      </c>
      <c r="F123" t="str">
        <v>māo</v>
      </c>
      <c r="G123" t="str">
        <v>con mèo</v>
      </c>
      <c r="H123" t="str">
        <v>15. Tự nhiên</v>
      </c>
    </row>
    <row r="124">
      <c r="A124">
        <v>123</v>
      </c>
      <c r="B124">
        <v>8</v>
      </c>
      <c r="C124" t="str">
        <v>我爸爸也在医院工作</v>
      </c>
      <c r="D124" t="str">
        <v>没</v>
      </c>
      <c r="E124" t="str">
        <v>Phó từ</v>
      </c>
      <c r="F124" t="str">
        <v>méi</v>
      </c>
      <c r="G124" t="str">
        <v>không có</v>
      </c>
      <c r="H124" t="str">
        <v>14. Công cụ ngữ pháp &amp; Cấu trúc</v>
      </c>
    </row>
    <row r="125">
      <c r="A125">
        <v>124</v>
      </c>
      <c r="B125">
        <v>2</v>
      </c>
      <c r="C125" t="str">
        <v>我叫李文</v>
      </c>
      <c r="D125" t="str">
        <v>没关系</v>
      </c>
      <c r="F125" t="str">
        <v>méi guānxi</v>
      </c>
      <c r="G125" t="str">
        <v>Điều đó không quan trọng</v>
      </c>
      <c r="H125" t="str">
        <v>14. Công cụ ngữ pháp &amp; Cấu trúc</v>
      </c>
    </row>
    <row r="126">
      <c r="A126">
        <v>125</v>
      </c>
      <c r="B126">
        <v>2</v>
      </c>
      <c r="C126" t="str">
        <v>我叫李文</v>
      </c>
      <c r="D126" t="str">
        <v>没事</v>
      </c>
      <c r="E126" t="str">
        <v>Động từ</v>
      </c>
      <c r="F126" t="str">
        <v>méishì</v>
      </c>
      <c r="G126" t="str">
        <v>không có gì</v>
      </c>
      <c r="H126" t="str">
        <v>14. Công cụ ngữ pháp &amp; Cấu trúc</v>
      </c>
    </row>
    <row r="127">
      <c r="A127">
        <v>126</v>
      </c>
      <c r="B127">
        <v>4</v>
      </c>
      <c r="C127" t="str">
        <v>我有两个孩子</v>
      </c>
      <c r="D127" t="str">
        <v>没有</v>
      </c>
      <c r="E127" t="str">
        <v>Động từ</v>
      </c>
      <c r="F127" t="str">
        <v>méiyǒu</v>
      </c>
      <c r="G127" t="str">
        <v>KHÔNG</v>
      </c>
      <c r="H127" t="str">
        <v>14. Công cụ ngữ pháp &amp; Cấu trúc</v>
      </c>
    </row>
    <row r="128">
      <c r="A128">
        <v>127</v>
      </c>
      <c r="B128">
        <v>4</v>
      </c>
      <c r="C128" t="str">
        <v>我有两个孩子</v>
      </c>
      <c r="D128" t="str">
        <v>妹妹</v>
      </c>
      <c r="E128" t="str">
        <v>Danh từ</v>
      </c>
      <c r="F128" t="str">
        <v>mèimei</v>
      </c>
      <c r="G128" t="str">
        <v>em gái</v>
      </c>
      <c r="H128" t="str">
        <v>1. Con người &amp; Các mối quan hệ</v>
      </c>
    </row>
    <row r="129">
      <c r="A129">
        <v>128</v>
      </c>
      <c r="B129">
        <v>1</v>
      </c>
      <c r="C129" t="str">
        <v>AI 小语，你好！</v>
      </c>
      <c r="D129" t="str">
        <v>们</v>
      </c>
      <c r="E129" t="str">
        <v>Hậu tố</v>
      </c>
      <c r="F129" t="str">
        <v>men</v>
      </c>
      <c r="G129" t="str">
        <v>Họ</v>
      </c>
      <c r="H129" t="str">
        <v>1. Con người &amp; Các mối quan hệ</v>
      </c>
    </row>
    <row r="130">
      <c r="A130">
        <v>129</v>
      </c>
      <c r="B130">
        <v>6</v>
      </c>
      <c r="C130" t="str">
        <v>你的手机号码是多少</v>
      </c>
      <c r="D130" t="str">
        <v>米饭</v>
      </c>
      <c r="E130" t="str">
        <v>Danh từ</v>
      </c>
      <c r="F130" t="str">
        <v>mǐfàn</v>
      </c>
      <c r="G130" t="str">
        <v>cơm</v>
      </c>
      <c r="H130" t="str">
        <v>16. Đồ ăn &amp; Thức uống</v>
      </c>
    </row>
    <row r="131">
      <c r="A131">
        <v>130</v>
      </c>
      <c r="B131">
        <v>13</v>
      </c>
      <c r="C131" t="str">
        <v>请给我一杯茶</v>
      </c>
      <c r="D131" t="str">
        <v>面包</v>
      </c>
      <c r="E131" t="str">
        <v>Danh từ</v>
      </c>
      <c r="F131" t="str">
        <v>miànbāo</v>
      </c>
      <c r="G131" t="str">
        <v>bánh mỳ</v>
      </c>
      <c r="H131" t="str">
        <v>16. Đồ ăn &amp; Thức uống</v>
      </c>
    </row>
    <row r="132">
      <c r="A132">
        <v>131</v>
      </c>
      <c r="B132">
        <v>5</v>
      </c>
      <c r="C132" t="str">
        <v>今天我休息</v>
      </c>
      <c r="D132" t="str">
        <v>面条儿</v>
      </c>
      <c r="E132" t="str">
        <v>Danh từ</v>
      </c>
      <c r="F132" t="str">
        <v>miàntiáor</v>
      </c>
      <c r="G132" t="str">
        <v>mì</v>
      </c>
      <c r="H132" t="str">
        <v>16. Đồ ăn &amp; Thức uống</v>
      </c>
    </row>
    <row r="133">
      <c r="A133">
        <v>132</v>
      </c>
      <c r="B133">
        <v>2</v>
      </c>
      <c r="C133" t="str">
        <v>我叫李文</v>
      </c>
      <c r="D133" t="str">
        <v>名字</v>
      </c>
      <c r="E133" t="str">
        <v>Danh từ</v>
      </c>
      <c r="F133" t="str">
        <v>míngzi</v>
      </c>
      <c r="G133" t="str">
        <v>tên</v>
      </c>
      <c r="H133" t="str">
        <v>1. Con người &amp; Các mối quan hệ</v>
      </c>
    </row>
    <row r="134">
      <c r="A134">
        <v>133</v>
      </c>
      <c r="B134">
        <v>14</v>
      </c>
      <c r="C134" t="str">
        <v>我看了一个电影</v>
      </c>
      <c r="D134" t="str">
        <v>明年</v>
      </c>
      <c r="E134" t="str">
        <v>Danh từ</v>
      </c>
      <c r="F134" t="str">
        <v>míngnián</v>
      </c>
      <c r="G134" t="str">
        <v>năm tới</v>
      </c>
      <c r="H134" t="str">
        <v>10. Thời gian</v>
      </c>
    </row>
    <row r="135">
      <c r="A135">
        <v>134</v>
      </c>
      <c r="B135">
        <v>6</v>
      </c>
      <c r="C135" t="str">
        <v>你的手机号码是多少</v>
      </c>
      <c r="D135" t="str">
        <v>明天</v>
      </c>
      <c r="E135" t="str">
        <v>Danh từ</v>
      </c>
      <c r="F135" t="str">
        <v>míngtiān</v>
      </c>
      <c r="G135" t="str">
        <v>Ngày mai</v>
      </c>
      <c r="H135" t="str">
        <v>10. Thời gian</v>
      </c>
    </row>
    <row r="136">
      <c r="A136">
        <v>135</v>
      </c>
      <c r="B136">
        <v>3</v>
      </c>
      <c r="C136" t="str">
        <v>我是中国人</v>
      </c>
      <c r="D136" t="str">
        <v>哪</v>
      </c>
      <c r="E136" t="str">
        <v>Đại từ</v>
      </c>
      <c r="F136" t="str">
        <v>nǎ</v>
      </c>
      <c r="G136" t="str">
        <v>Ở đâu</v>
      </c>
      <c r="H136" t="str">
        <v>7. Địa điểm &amp; Nơi chốn</v>
      </c>
    </row>
    <row r="137">
      <c r="A137">
        <v>137</v>
      </c>
      <c r="B137">
        <v>11</v>
      </c>
      <c r="C137" t="str">
        <v>我读大学了</v>
      </c>
      <c r="D137" t="str">
        <v>哪里</v>
      </c>
      <c r="E137" t="str">
        <v>Đại từ</v>
      </c>
      <c r="F137" t="str">
        <v>nǎlǐ</v>
      </c>
      <c r="G137" t="str">
        <v>Ở đâu</v>
      </c>
      <c r="H137" t="str">
        <v>9. Không gian &amp; Vị trí</v>
      </c>
    </row>
    <row r="138">
      <c r="A138">
        <v>138</v>
      </c>
      <c r="B138">
        <v>6</v>
      </c>
      <c r="C138" t="str">
        <v>你的手机号码是多少</v>
      </c>
      <c r="D138" t="str">
        <v>哪儿</v>
      </c>
      <c r="E138" t="str">
        <v>Đại từ</v>
      </c>
      <c r="F138" t="str">
        <v>nǎr</v>
      </c>
      <c r="G138" t="str">
        <v>Ở đâu</v>
      </c>
      <c r="H138" t="str">
        <v>7. Địa điểm &amp; Nơi chốn</v>
      </c>
    </row>
    <row r="139" xml:space="preserve">
      <c r="A139">
        <v>140</v>
      </c>
      <c r="B139">
        <v>9.15</v>
      </c>
      <c r="C139" t="str" xml:space="preserve">
        <v xml:space="preserve">我明天上午在学校学习_x000d_
大兴机场见！</v>
      </c>
      <c r="D139" t="str">
        <v>那</v>
      </c>
      <c r="E139" t="str">
        <v>Đại từ</v>
      </c>
      <c r="F139" t="str">
        <v>nà</v>
      </c>
      <c r="G139" t="str">
        <v>Cái đó</v>
      </c>
      <c r="H139" t="str">
        <v>14. Công cụ ngữ pháp &amp; Cấu trúc</v>
      </c>
    </row>
    <row r="140">
      <c r="A140">
        <v>141</v>
      </c>
      <c r="B140">
        <v>6</v>
      </c>
      <c r="C140" t="str">
        <v>你的手机号码是多少</v>
      </c>
      <c r="D140" t="str">
        <v>那边</v>
      </c>
      <c r="E140" t="str">
        <v>Đại từ</v>
      </c>
      <c r="F140" t="str">
        <v>nàbiān</v>
      </c>
      <c r="G140" t="str">
        <v>ở đó</v>
      </c>
      <c r="H140" t="str">
        <v>9. Không gian &amp; Vị trí</v>
      </c>
    </row>
    <row r="141">
      <c r="A141">
        <v>143</v>
      </c>
      <c r="B141">
        <v>11</v>
      </c>
      <c r="C141" t="str">
        <v>我读大学了</v>
      </c>
      <c r="D141" t="str">
        <v>那里</v>
      </c>
      <c r="E141" t="str">
        <v>Đại từ</v>
      </c>
      <c r="F141" t="str">
        <v>nàlǐ</v>
      </c>
      <c r="G141" t="str">
        <v>Ở đó</v>
      </c>
      <c r="H141" t="str">
        <v>7. Địa điểm &amp; Nơi chốn</v>
      </c>
    </row>
    <row r="142">
      <c r="A142">
        <v>144</v>
      </c>
      <c r="B142">
        <v>10</v>
      </c>
      <c r="C142" t="str">
        <v>这儿的苹果真便宜</v>
      </c>
      <c r="D142" t="str">
        <v>那儿</v>
      </c>
      <c r="E142" t="str">
        <v>Đại từ</v>
      </c>
      <c r="F142" t="str">
        <v>nàr</v>
      </c>
      <c r="G142" t="str">
        <v>ở đó</v>
      </c>
      <c r="H142" t="str">
        <v>7. Địa điểm &amp; Nơi chốn</v>
      </c>
    </row>
    <row r="143">
      <c r="A143">
        <v>146</v>
      </c>
      <c r="B143">
        <v>10</v>
      </c>
      <c r="C143" t="str">
        <v>这儿的苹果真便宜</v>
      </c>
      <c r="D143" t="str">
        <v>男</v>
      </c>
      <c r="E143" t="str">
        <v>Tính từ</v>
      </c>
      <c r="F143" t="str">
        <v>nán</v>
      </c>
      <c r="G143" t="str">
        <v>nam giới</v>
      </c>
      <c r="H143" t="str">
        <v>1. Con người &amp; Các mối quan hệ</v>
      </c>
    </row>
    <row r="144">
      <c r="A144">
        <v>147</v>
      </c>
      <c r="B144">
        <v>15</v>
      </c>
      <c r="C144" t="str">
        <v>大兴机场见！</v>
      </c>
      <c r="D144" t="str">
        <v>男朋友</v>
      </c>
      <c r="E144" t="str">
        <v>Danh từ</v>
      </c>
      <c r="F144" t="str">
        <v>nánpéngyou</v>
      </c>
      <c r="G144" t="str">
        <v>Bạn trai</v>
      </c>
      <c r="H144" t="str">
        <v>1. Con người &amp; Các mối quan hệ</v>
      </c>
    </row>
    <row r="145" xml:space="preserve">
      <c r="A145">
        <v>148</v>
      </c>
      <c r="B145">
        <v>4.7</v>
      </c>
      <c r="C145" t="str" xml:space="preserve">
        <v xml:space="preserve">我有两个孩子_x000d_
我晚上六点半下班</v>
      </c>
      <c r="D145" t="str">
        <v>呢</v>
      </c>
      <c r="E145" t="str">
        <v>Trợ từ</v>
      </c>
      <c r="F145" t="str">
        <v>ne</v>
      </c>
      <c r="G145" t="str">
        <v>Trợ từ đặt cuối câu để khẳng định</v>
      </c>
      <c r="H145" t="str">
        <v>14. Công cụ ngữ pháp &amp; Cấu trúc</v>
      </c>
    </row>
    <row r="146">
      <c r="A146">
        <v>149</v>
      </c>
      <c r="B146">
        <v>8</v>
      </c>
      <c r="C146" t="str">
        <v>我明天上午在学校学习</v>
      </c>
      <c r="D146" t="str">
        <v>能</v>
      </c>
      <c r="E146" t="str">
        <v>Động từ năng nguyện</v>
      </c>
      <c r="F146" t="str">
        <v>néng</v>
      </c>
      <c r="G146" t="str">
        <v>có thể</v>
      </c>
      <c r="H146" t="str">
        <v>14. Công cụ ngữ pháp &amp; Cấu trúc</v>
      </c>
    </row>
    <row r="147">
      <c r="A147">
        <v>150</v>
      </c>
      <c r="B147">
        <v>2</v>
      </c>
      <c r="C147" t="str">
        <v>我叫李文</v>
      </c>
      <c r="D147" t="str">
        <v>你</v>
      </c>
      <c r="E147" t="str">
        <v>Danh từ</v>
      </c>
      <c r="F147" t="str">
        <v>nǐ</v>
      </c>
      <c r="G147" t="str">
        <v>Bạn</v>
      </c>
      <c r="H147" t="str">
        <v>1. Con người &amp; Các mối quan hệ</v>
      </c>
    </row>
    <row r="148">
      <c r="A148">
        <v>151</v>
      </c>
      <c r="B148">
        <v>1</v>
      </c>
      <c r="C148" t="str">
        <v>AI 小语，你好！</v>
      </c>
      <c r="D148" t="str">
        <v>你好</v>
      </c>
      <c r="F148" t="str">
        <v>nǐ hǎo</v>
      </c>
      <c r="G148" t="str">
        <v>Xin chào</v>
      </c>
      <c r="H148" t="str">
        <v>14. Công cụ ngữ pháp &amp; Cấu trúc</v>
      </c>
    </row>
    <row r="149">
      <c r="A149">
        <v>152</v>
      </c>
      <c r="B149">
        <v>1</v>
      </c>
      <c r="C149" t="str">
        <v>AI 小语，你好！</v>
      </c>
      <c r="D149" t="str">
        <v>你们</v>
      </c>
      <c r="E149" t="str">
        <v>Đại từ</v>
      </c>
      <c r="F149" t="str">
        <v>nǐmen</v>
      </c>
      <c r="G149" t="str">
        <v>Bạn</v>
      </c>
      <c r="H149" t="str">
        <v>1. Con người &amp; Các mối quan hệ</v>
      </c>
    </row>
    <row r="150">
      <c r="A150">
        <v>153</v>
      </c>
      <c r="B150">
        <v>15</v>
      </c>
      <c r="C150" t="str">
        <v>大兴机场见！</v>
      </c>
      <c r="D150" t="str">
        <v>年</v>
      </c>
      <c r="E150" t="str">
        <v>Danh từ</v>
      </c>
      <c r="F150" t="str">
        <v>nián</v>
      </c>
      <c r="G150" t="str">
        <v>Năm</v>
      </c>
      <c r="H150" t="str">
        <v>10. Thời gian</v>
      </c>
    </row>
    <row r="151">
      <c r="A151">
        <v>154</v>
      </c>
      <c r="B151">
        <v>1</v>
      </c>
      <c r="C151" t="str">
        <v>AI 小语，你好！</v>
      </c>
      <c r="D151" t="str">
        <v>您</v>
      </c>
      <c r="E151" t="str">
        <v>Đại từ</v>
      </c>
      <c r="F151" t="str">
        <v>nín</v>
      </c>
      <c r="G151" t="str">
        <v>Bạn</v>
      </c>
      <c r="H151" t="str">
        <v>1. Con người &amp; Các mối quan hệ</v>
      </c>
    </row>
    <row r="152">
      <c r="A152">
        <v>155</v>
      </c>
      <c r="B152">
        <v>6</v>
      </c>
      <c r="C152" t="str">
        <v>你的手机号码是多少</v>
      </c>
      <c r="D152" t="str">
        <v>牛奶</v>
      </c>
      <c r="E152" t="str">
        <v>Danh từ</v>
      </c>
      <c r="F152" t="str">
        <v>niúnǎi</v>
      </c>
      <c r="G152" t="str">
        <v>sữa</v>
      </c>
      <c r="H152" t="str">
        <v>16. Đồ ăn &amp; Thức uống</v>
      </c>
    </row>
    <row r="153">
      <c r="A153">
        <v>156</v>
      </c>
      <c r="B153">
        <v>10</v>
      </c>
      <c r="C153" t="str">
        <v>这儿的苹果真便宜</v>
      </c>
      <c r="D153" t="str">
        <v>女</v>
      </c>
      <c r="E153" t="str">
        <v>Tính từ</v>
      </c>
      <c r="F153" t="str">
        <v>nǚ</v>
      </c>
      <c r="G153" t="str">
        <v>nữ giới</v>
      </c>
      <c r="H153" t="str">
        <v>1. Con người &amp; Các mối quan hệ</v>
      </c>
    </row>
    <row r="154">
      <c r="A154">
        <v>157</v>
      </c>
      <c r="B154">
        <v>4</v>
      </c>
      <c r="C154" t="str">
        <v>我有两个孩子</v>
      </c>
      <c r="D154" t="str">
        <v>女儿</v>
      </c>
      <c r="E154" t="str">
        <v>Danh từ</v>
      </c>
      <c r="F154" t="str">
        <v>nǚ’ér</v>
      </c>
      <c r="G154" t="str">
        <v>con gái</v>
      </c>
      <c r="H154" t="str">
        <v>1. Con người &amp; Các mối quan hệ</v>
      </c>
    </row>
    <row r="155">
      <c r="A155">
        <v>158</v>
      </c>
      <c r="B155">
        <v>3</v>
      </c>
      <c r="C155" t="str">
        <v>我是中国人</v>
      </c>
      <c r="D155" t="str">
        <v>女朋友</v>
      </c>
      <c r="E155" t="str">
        <v>Danh từ</v>
      </c>
      <c r="F155" t="str">
        <v>nǚpéngyou</v>
      </c>
      <c r="G155" t="str">
        <v>bạn gái</v>
      </c>
      <c r="H155" t="str">
        <v>1. Con người &amp; Các mối quan hệ</v>
      </c>
    </row>
    <row r="156">
      <c r="A156">
        <v>159</v>
      </c>
      <c r="B156">
        <v>13</v>
      </c>
      <c r="C156" t="str">
        <v>请给我一杯茶</v>
      </c>
      <c r="D156" t="str">
        <v>女士</v>
      </c>
      <c r="E156" t="str">
        <v>Danh từ</v>
      </c>
      <c r="F156" t="str">
        <v>nǚshì</v>
      </c>
      <c r="G156" t="str">
        <v>Cô</v>
      </c>
      <c r="H156" t="str">
        <v>1. Con người &amp; Các mối quan hệ</v>
      </c>
    </row>
    <row r="157">
      <c r="A157">
        <v>160</v>
      </c>
      <c r="B157">
        <v>9</v>
      </c>
      <c r="C157" t="str">
        <v>我明天上午在学校学习</v>
      </c>
      <c r="D157" t="str">
        <v>朋友</v>
      </c>
      <c r="E157" t="str">
        <v>Danh từ</v>
      </c>
      <c r="F157" t="str">
        <v>péngyou</v>
      </c>
      <c r="G157" t="str">
        <v>bạn bè</v>
      </c>
      <c r="H157" t="str">
        <v>1. Con người &amp; Các mối quan hệ</v>
      </c>
    </row>
    <row r="158">
      <c r="A158">
        <v>161</v>
      </c>
      <c r="B158">
        <v>10</v>
      </c>
      <c r="C158" t="str">
        <v>这儿的苹果真便宜</v>
      </c>
      <c r="D158" t="str">
        <v>便宜</v>
      </c>
      <c r="E158" t="str">
        <v>Tính từ</v>
      </c>
      <c r="F158" t="str">
        <v>piányi</v>
      </c>
      <c r="G158" t="str">
        <v>Rẻ</v>
      </c>
      <c r="H158" t="str">
        <v>12. Miêu tả &amp; Đánh giá</v>
      </c>
    </row>
    <row r="159">
      <c r="A159">
        <v>162</v>
      </c>
      <c r="B159">
        <v>8</v>
      </c>
      <c r="C159" t="str">
        <v>我明天上午在学校学习</v>
      </c>
      <c r="D159" t="str">
        <v>漂亮</v>
      </c>
      <c r="E159" t="str">
        <v>Tính từ</v>
      </c>
      <c r="F159" t="str">
        <v>piàoliang</v>
      </c>
      <c r="G159" t="str">
        <v>đẹp</v>
      </c>
      <c r="H159" t="str">
        <v>12. Miêu tả &amp; Đánh giá</v>
      </c>
    </row>
    <row r="160">
      <c r="A160">
        <v>163</v>
      </c>
      <c r="B160">
        <v>10</v>
      </c>
      <c r="C160" t="str">
        <v>这儿的苹果真便宜</v>
      </c>
      <c r="D160" t="str">
        <v>苹果</v>
      </c>
      <c r="E160" t="str">
        <v>Danh từ</v>
      </c>
      <c r="F160" t="str">
        <v>píngguǒ</v>
      </c>
      <c r="G160" t="str">
        <v>quả táo</v>
      </c>
      <c r="H160" t="str">
        <v>16. Đồ ăn &amp; Thức uống</v>
      </c>
    </row>
    <row r="161">
      <c r="A161">
        <v>164</v>
      </c>
      <c r="B161">
        <v>4</v>
      </c>
      <c r="C161" t="str">
        <v>我有两个孩子</v>
      </c>
      <c r="D161" t="str">
        <v>七</v>
      </c>
      <c r="E161" t="str">
        <v>Số từ</v>
      </c>
      <c r="F161" t="str">
        <v>qī</v>
      </c>
      <c r="G161" t="str">
        <v>bảy</v>
      </c>
      <c r="H161" t="str">
        <v>13. Số lượng &amp; Đo lường</v>
      </c>
    </row>
    <row r="162">
      <c r="A162">
        <v>165</v>
      </c>
      <c r="B162">
        <v>11</v>
      </c>
      <c r="C162" t="str">
        <v>我读大学了</v>
      </c>
      <c r="D162" t="str">
        <v>起床</v>
      </c>
      <c r="E162" t="str">
        <v>Động từ</v>
      </c>
      <c r="F162" t="str">
        <v>qǐchuáng</v>
      </c>
      <c r="G162" t="str">
        <v>thức dậy</v>
      </c>
      <c r="H162" t="str">
        <v>5. Đời sống sinh hoạt</v>
      </c>
    </row>
    <row r="163">
      <c r="A163">
        <v>166</v>
      </c>
      <c r="B163">
        <v>4</v>
      </c>
      <c r="C163" t="str">
        <v>我有两个孩子</v>
      </c>
      <c r="D163" t="str">
        <v>千</v>
      </c>
      <c r="E163" t="str">
        <v>Số từ</v>
      </c>
      <c r="F163" t="str">
        <v>qiān</v>
      </c>
      <c r="G163" t="str">
        <v>nghìn</v>
      </c>
      <c r="H163" t="str">
        <v>13. Số lượng &amp; Đo lường</v>
      </c>
    </row>
    <row r="164">
      <c r="A164">
        <v>167</v>
      </c>
      <c r="B164">
        <v>8</v>
      </c>
      <c r="C164" t="str">
        <v>我明天上午在学校学习</v>
      </c>
      <c r="D164" t="str">
        <v>前</v>
      </c>
      <c r="E164" t="str">
        <v>Danh từ</v>
      </c>
      <c r="F164" t="str">
        <v>qián</v>
      </c>
      <c r="G164" t="str">
        <v>phía trước</v>
      </c>
      <c r="H164" t="str">
        <v>9. Không gian &amp; Vị trí</v>
      </c>
    </row>
    <row r="165">
      <c r="A165">
        <v>168</v>
      </c>
      <c r="B165">
        <v>9</v>
      </c>
      <c r="C165" t="str">
        <v>我明天上午在学校学习</v>
      </c>
      <c r="D165" t="str">
        <v>前边</v>
      </c>
      <c r="E165" t="str">
        <v>Danh từ</v>
      </c>
      <c r="F165" t="str">
        <v>qiánbiān</v>
      </c>
      <c r="G165" t="str">
        <v>đằng trước</v>
      </c>
      <c r="H165" t="str">
        <v>9. Không gian &amp; Vị trí</v>
      </c>
    </row>
    <row r="166">
      <c r="A166">
        <v>169</v>
      </c>
      <c r="B166">
        <v>10</v>
      </c>
      <c r="C166" t="str">
        <v>这儿的苹果真便宜</v>
      </c>
      <c r="D166" t="str">
        <v>钱</v>
      </c>
      <c r="E166" t="str">
        <v>Danh từ</v>
      </c>
      <c r="F166" t="str">
        <v>qián</v>
      </c>
      <c r="G166" t="str">
        <v>tiền bạc</v>
      </c>
      <c r="H166" t="str">
        <v>6. Đồ vật &amp; Công cụ</v>
      </c>
    </row>
    <row r="167">
      <c r="A167">
        <v>170</v>
      </c>
      <c r="B167">
        <v>13</v>
      </c>
      <c r="C167" t="str">
        <v>请给我一杯茶</v>
      </c>
      <c r="D167" t="str">
        <v>请</v>
      </c>
      <c r="E167" t="str">
        <v>Động từ</v>
      </c>
      <c r="F167" t="str">
        <v>qǐng</v>
      </c>
      <c r="G167" t="str">
        <v>Xin vui lòng</v>
      </c>
      <c r="H167" t="str">
        <v>14. Công cụ ngữ pháp &amp; Cấu trúc</v>
      </c>
    </row>
    <row r="168">
      <c r="A168">
        <v>171</v>
      </c>
      <c r="B168">
        <v>2</v>
      </c>
      <c r="C168" t="str">
        <v>我叫李文</v>
      </c>
      <c r="D168" t="str">
        <v>请问</v>
      </c>
      <c r="E168" t="str">
        <v>Động từ</v>
      </c>
      <c r="F168" t="str">
        <v>qǐngwèn</v>
      </c>
      <c r="G168" t="str">
        <v>cho hỏi, xin hỏi</v>
      </c>
      <c r="H168" t="str">
        <v>4. Tư duy &amp; Nhận thức</v>
      </c>
    </row>
    <row r="169">
      <c r="A169">
        <v>172</v>
      </c>
      <c r="B169">
        <v>6</v>
      </c>
      <c r="C169" t="str">
        <v>你的手机号码是多少</v>
      </c>
      <c r="D169" t="str">
        <v>去</v>
      </c>
      <c r="E169" t="str">
        <v>Động từ</v>
      </c>
      <c r="F169" t="str">
        <v>qù</v>
      </c>
      <c r="G169" t="str">
        <v>đi</v>
      </c>
      <c r="H169" t="str">
        <v>8. Giao thông &amp; Di chuyển</v>
      </c>
    </row>
    <row r="170">
      <c r="A170">
        <v>173</v>
      </c>
      <c r="B170">
        <v>15</v>
      </c>
      <c r="C170" t="str">
        <v>大兴机场见！</v>
      </c>
      <c r="D170" t="str">
        <v>去年</v>
      </c>
      <c r="E170" t="str">
        <v>Danh từ</v>
      </c>
      <c r="F170" t="str">
        <v>qùnián</v>
      </c>
      <c r="G170" t="str">
        <v>năm ngoái</v>
      </c>
      <c r="H170" t="str">
        <v>10. Thời gian</v>
      </c>
    </row>
    <row r="171">
      <c r="A171">
        <v>174</v>
      </c>
      <c r="B171">
        <v>12</v>
      </c>
      <c r="C171" t="str">
        <v>昨天下雪了</v>
      </c>
      <c r="D171" t="str">
        <v>热</v>
      </c>
      <c r="E171" t="str">
        <v>Tính từ</v>
      </c>
      <c r="F171" t="str">
        <v>rè</v>
      </c>
      <c r="G171" t="str">
        <v>nóng</v>
      </c>
      <c r="H171" t="str">
        <v>12. Miêu tả &amp; Đánh giá</v>
      </c>
    </row>
    <row r="172">
      <c r="A172">
        <v>175</v>
      </c>
      <c r="B172">
        <v>3</v>
      </c>
      <c r="C172" t="str">
        <v>我是中国人</v>
      </c>
      <c r="D172" t="str">
        <v>人</v>
      </c>
      <c r="E172" t="str">
        <v>Danh từ</v>
      </c>
      <c r="F172" t="str">
        <v>rén</v>
      </c>
      <c r="G172" t="str">
        <v>mọi người</v>
      </c>
      <c r="H172" t="str">
        <v>1. Con người &amp; Các mối quan hệ</v>
      </c>
    </row>
    <row r="173">
      <c r="A173">
        <v>176</v>
      </c>
      <c r="B173">
        <v>2</v>
      </c>
      <c r="C173" t="str">
        <v>我叫李文</v>
      </c>
      <c r="D173" t="str">
        <v>认识</v>
      </c>
      <c r="E173" t="str">
        <v>Động từ</v>
      </c>
      <c r="F173" t="str">
        <v>rènshi</v>
      </c>
      <c r="G173" t="str">
        <v>biết</v>
      </c>
      <c r="H173" t="str">
        <v>4. Tư duy &amp; Nhận thức</v>
      </c>
    </row>
    <row r="174">
      <c r="A174">
        <v>177</v>
      </c>
      <c r="B174">
        <v>5</v>
      </c>
      <c r="C174" t="str">
        <v>今天我休息</v>
      </c>
      <c r="D174" t="str">
        <v>日</v>
      </c>
      <c r="E174" t="str">
        <v>Lượng từ</v>
      </c>
      <c r="F174" t="str">
        <v>rì</v>
      </c>
      <c r="G174" t="str">
        <v>ngày</v>
      </c>
      <c r="H174" t="str">
        <v>10. Thời gian</v>
      </c>
    </row>
    <row r="175">
      <c r="A175">
        <v>178</v>
      </c>
      <c r="B175">
        <v>4</v>
      </c>
      <c r="C175" t="str">
        <v>我有两个孩子</v>
      </c>
      <c r="D175" t="str">
        <v>三</v>
      </c>
      <c r="E175" t="str">
        <v>Số từ</v>
      </c>
      <c r="F175" t="str">
        <v>sān</v>
      </c>
      <c r="G175" t="str">
        <v>ba</v>
      </c>
      <c r="H175" t="str">
        <v>13. Số lượng &amp; Đo lường</v>
      </c>
    </row>
    <row r="176">
      <c r="A176">
        <v>179</v>
      </c>
      <c r="B176">
        <v>10</v>
      </c>
      <c r="C176" t="str">
        <v>这儿的苹果真便宜</v>
      </c>
      <c r="D176" t="str">
        <v>商店</v>
      </c>
      <c r="E176" t="str">
        <v>Danh từ</v>
      </c>
      <c r="F176" t="str">
        <v>shāngdiàn</v>
      </c>
      <c r="G176" t="str">
        <v>cửa hàng</v>
      </c>
      <c r="H176" t="str">
        <v>7. Địa điểm &amp; Nơi chốn</v>
      </c>
    </row>
    <row r="177" xml:space="preserve">
      <c r="A177">
        <v>180</v>
      </c>
      <c r="B177">
        <v>9.14</v>
      </c>
      <c r="C177" t="str" xml:space="preserve">
        <v xml:space="preserve">我明天上午在学校学习_x000d_
我看了一个电影</v>
      </c>
      <c r="D177" t="str">
        <v>上</v>
      </c>
      <c r="E177" t="str">
        <v>Danh từ, Động từ</v>
      </c>
      <c r="F177" t="str">
        <v>shàng</v>
      </c>
      <c r="G177" t="str" xml:space="preserve">
        <v xml:space="preserve">danh từ - vị trí cao (trên bảng xếp hạng)_x000d_
động từ - lên; bắt đầu làm gì đó ở mốc thời gian cố định</v>
      </c>
      <c r="H177" t="str">
        <v>9. Không gian &amp; Vị trí</v>
      </c>
    </row>
    <row r="178">
      <c r="A178">
        <v>181</v>
      </c>
      <c r="B178">
        <v>7</v>
      </c>
      <c r="C178" t="str">
        <v>我晚上六点半下班</v>
      </c>
      <c r="D178" t="str">
        <v>上班</v>
      </c>
      <c r="E178" t="str">
        <v>Động từ</v>
      </c>
      <c r="F178" t="str">
        <v>shàngbān</v>
      </c>
      <c r="G178" t="str">
        <v>công việc</v>
      </c>
      <c r="H178" t="str">
        <v>11. Công việc &amp; Nghề nghiệp</v>
      </c>
    </row>
    <row r="179">
      <c r="A179">
        <v>182</v>
      </c>
      <c r="B179">
        <v>7</v>
      </c>
      <c r="C179" t="str">
        <v>我晚上六点半下班</v>
      </c>
      <c r="D179" t="str">
        <v>上课</v>
      </c>
      <c r="E179" t="str">
        <v>Động từ</v>
      </c>
      <c r="F179" t="str">
        <v>shàngkè</v>
      </c>
      <c r="G179" t="str">
        <v>Tham gia lớp học</v>
      </c>
      <c r="H179" t="str">
        <v>11. Công việc &amp; Nghề nghiệp</v>
      </c>
    </row>
    <row r="180">
      <c r="A180">
        <v>183</v>
      </c>
      <c r="B180">
        <v>7</v>
      </c>
      <c r="C180" t="str">
        <v>我晚上六点半下班</v>
      </c>
      <c r="D180" t="str">
        <v>上午</v>
      </c>
      <c r="E180" t="str">
        <v>Danh từ</v>
      </c>
      <c r="F180" t="str">
        <v>shàngwǔ</v>
      </c>
      <c r="G180" t="str">
        <v>buổi sáng</v>
      </c>
      <c r="H180" t="str">
        <v>10. Thời gian</v>
      </c>
    </row>
    <row r="181">
      <c r="A181">
        <v>184</v>
      </c>
      <c r="B181">
        <v>14</v>
      </c>
      <c r="C181" t="str">
        <v>我看了一个电影</v>
      </c>
      <c r="D181" t="str">
        <v>上学</v>
      </c>
      <c r="E181" t="str">
        <v>Động từ</v>
      </c>
      <c r="F181" t="str">
        <v>shàngxué</v>
      </c>
      <c r="G181" t="str">
        <v>đi học</v>
      </c>
      <c r="H181" t="str">
        <v>11. Công việc &amp; Nghề nghiệp</v>
      </c>
    </row>
    <row r="182">
      <c r="A182">
        <v>185</v>
      </c>
      <c r="B182">
        <v>10</v>
      </c>
      <c r="C182" t="str">
        <v>这儿的苹果真便宜</v>
      </c>
      <c r="D182" t="str">
        <v>少</v>
      </c>
      <c r="E182" t="str">
        <v>Tính từ</v>
      </c>
      <c r="F182" t="str">
        <v>shǎo</v>
      </c>
      <c r="G182" t="str">
        <v>một vài</v>
      </c>
      <c r="H182" t="str">
        <v>12. Miêu tả &amp; Đánh giá</v>
      </c>
    </row>
    <row r="183">
      <c r="A183">
        <v>186</v>
      </c>
      <c r="B183">
        <v>3</v>
      </c>
      <c r="C183" t="str">
        <v>我是中国人</v>
      </c>
      <c r="D183" t="str">
        <v>谁</v>
      </c>
      <c r="E183" t="str">
        <v>Đại từ</v>
      </c>
      <c r="F183" t="str">
        <v>shéi/shuí</v>
      </c>
      <c r="G183" t="str">
        <v>Ai</v>
      </c>
      <c r="H183" t="str">
        <v>1. Con người &amp; Các mối quan hệ</v>
      </c>
    </row>
    <row r="184">
      <c r="A184">
        <v>187</v>
      </c>
      <c r="B184">
        <v>2</v>
      </c>
      <c r="C184" t="str">
        <v>我叫李文</v>
      </c>
      <c r="D184" t="str">
        <v>什么</v>
      </c>
      <c r="E184" t="str">
        <v>Đại từ</v>
      </c>
      <c r="F184" t="str">
        <v>shénme</v>
      </c>
      <c r="G184" t="str">
        <v>Cái gì</v>
      </c>
      <c r="H184" t="str">
        <v>14. Công cụ ngữ pháp &amp; Cấu trúc</v>
      </c>
    </row>
    <row r="185">
      <c r="A185">
        <v>188</v>
      </c>
      <c r="B185">
        <v>12</v>
      </c>
      <c r="C185" t="str">
        <v>昨天下雪了</v>
      </c>
      <c r="D185" t="str">
        <v>生病</v>
      </c>
      <c r="E185" t="str">
        <v>Động từ</v>
      </c>
      <c r="F185" t="str">
        <v>shēngbìng</v>
      </c>
      <c r="G185" t="str">
        <v>Bị ốm</v>
      </c>
      <c r="H185" t="str">
        <v>2. Cơ thể &amp; Sức khỏe</v>
      </c>
    </row>
    <row r="186">
      <c r="A186">
        <v>189</v>
      </c>
      <c r="B186">
        <v>4</v>
      </c>
      <c r="C186" t="str">
        <v>我有两个孩子</v>
      </c>
      <c r="D186" t="str">
        <v>十</v>
      </c>
      <c r="E186" t="str">
        <v>Số từ</v>
      </c>
      <c r="F186" t="str">
        <v>shí</v>
      </c>
      <c r="G186" t="str">
        <v>mười</v>
      </c>
      <c r="H186" t="str">
        <v>13. Số lượng &amp; Đo lường</v>
      </c>
    </row>
    <row r="187">
      <c r="A187">
        <v>190</v>
      </c>
      <c r="B187">
        <v>11</v>
      </c>
      <c r="C187" t="str">
        <v>我读大学了</v>
      </c>
      <c r="D187" t="str">
        <v>时候</v>
      </c>
      <c r="E187" t="str">
        <v>Danh từ</v>
      </c>
      <c r="F187" t="str">
        <v>shíhou</v>
      </c>
      <c r="G187" t="str">
        <v>khi</v>
      </c>
      <c r="H187" t="str">
        <v>10. Thời gian</v>
      </c>
    </row>
    <row r="188">
      <c r="A188">
        <v>191</v>
      </c>
      <c r="B188">
        <v>15</v>
      </c>
      <c r="C188" t="str">
        <v>大兴机场见！</v>
      </c>
      <c r="D188" t="str">
        <v>时间</v>
      </c>
      <c r="E188" t="str">
        <v>Danh từ</v>
      </c>
      <c r="F188" t="str">
        <v>shíjiān</v>
      </c>
      <c r="G188" t="str">
        <v>thời gian</v>
      </c>
      <c r="H188" t="str">
        <v>10. Thời gian</v>
      </c>
    </row>
    <row r="189">
      <c r="A189">
        <v>192</v>
      </c>
      <c r="B189">
        <v>7</v>
      </c>
      <c r="C189" t="str">
        <v>我晚上六点半下班</v>
      </c>
      <c r="D189" t="str">
        <v>事</v>
      </c>
      <c r="E189" t="str">
        <v>Danh từ</v>
      </c>
      <c r="F189" t="str">
        <v>shì</v>
      </c>
      <c r="G189" t="str">
        <v>điều</v>
      </c>
      <c r="H189" t="str">
        <v>6. Đồ vật &amp; Công cụ</v>
      </c>
    </row>
    <row r="190">
      <c r="A190">
        <v>193</v>
      </c>
      <c r="B190">
        <v>2</v>
      </c>
      <c r="C190" t="str">
        <v>我叫李文</v>
      </c>
      <c r="D190" t="str">
        <v>是</v>
      </c>
      <c r="E190" t="str">
        <v>Động từ</v>
      </c>
      <c r="F190" t="str">
        <v>shì</v>
      </c>
      <c r="G190" t="str">
        <v>Đúng</v>
      </c>
      <c r="H190" t="str">
        <v>14. Công cụ ngữ pháp &amp; Cấu trúc</v>
      </c>
    </row>
    <row r="191">
      <c r="A191">
        <v>194</v>
      </c>
      <c r="B191">
        <v>6</v>
      </c>
      <c r="C191" t="str">
        <v>你的手机号码是多少</v>
      </c>
      <c r="D191" t="str">
        <v>手机</v>
      </c>
      <c r="E191" t="str">
        <v>Danh từ</v>
      </c>
      <c r="F191" t="str">
        <v>shǒujī</v>
      </c>
      <c r="G191" t="str">
        <v>điện thoại di động</v>
      </c>
      <c r="H191" t="str">
        <v>6. Đồ vật &amp; Công cụ</v>
      </c>
    </row>
    <row r="192">
      <c r="A192">
        <v>195</v>
      </c>
      <c r="B192">
        <v>10</v>
      </c>
      <c r="C192" t="str">
        <v>这儿的苹果真便宜</v>
      </c>
      <c r="D192" t="str">
        <v>售货员</v>
      </c>
      <c r="E192" t="str">
        <v>Danh từ</v>
      </c>
      <c r="F192" t="str">
        <v>shòuhuòyuán</v>
      </c>
      <c r="G192" t="str">
        <v>Nhân viên bán hàng</v>
      </c>
      <c r="H192" t="str">
        <v>11. Công việc &amp; Nghề nghiệp</v>
      </c>
    </row>
    <row r="193">
      <c r="A193">
        <v>196</v>
      </c>
      <c r="B193">
        <v>9</v>
      </c>
      <c r="C193" t="str">
        <v>我明天上午在学校学习</v>
      </c>
      <c r="D193" t="str">
        <v>书</v>
      </c>
      <c r="E193" t="str">
        <v>Danh từ</v>
      </c>
      <c r="F193" t="str">
        <v>shū</v>
      </c>
      <c r="G193" t="str">
        <v>Sách</v>
      </c>
      <c r="H193" t="str">
        <v>6. Đồ vật &amp; Công cụ</v>
      </c>
    </row>
    <row r="194">
      <c r="A194">
        <v>197</v>
      </c>
      <c r="B194">
        <v>8</v>
      </c>
      <c r="C194" t="str">
        <v>我明天上午在学校学习</v>
      </c>
      <c r="D194" t="str">
        <v>书店</v>
      </c>
      <c r="E194" t="str">
        <v>Danh từ</v>
      </c>
      <c r="F194" t="str">
        <v>shūdiàn</v>
      </c>
      <c r="G194" t="str">
        <v>hiệu sách</v>
      </c>
      <c r="H194" t="str">
        <v>7. Địa điểm &amp; Nơi chốn</v>
      </c>
    </row>
    <row r="195">
      <c r="A195">
        <v>198</v>
      </c>
      <c r="B195">
        <v>12</v>
      </c>
      <c r="C195" t="str">
        <v>昨天下雪了</v>
      </c>
      <c r="D195" t="str">
        <v>水</v>
      </c>
      <c r="E195" t="str">
        <v>Danh từ</v>
      </c>
      <c r="F195" t="str">
        <v>shuǐ</v>
      </c>
      <c r="G195" t="str">
        <v>Nước</v>
      </c>
      <c r="H195" t="str">
        <v>15. Tự nhiên</v>
      </c>
    </row>
    <row r="196">
      <c r="A196">
        <v>199</v>
      </c>
      <c r="B196">
        <v>10</v>
      </c>
      <c r="C196" t="str">
        <v>这儿的苹果真便宜</v>
      </c>
      <c r="D196" t="str">
        <v>水果</v>
      </c>
      <c r="E196" t="str">
        <v>Danh từ</v>
      </c>
      <c r="F196" t="str">
        <v>shuǐguǒ</v>
      </c>
      <c r="G196" t="str">
        <v>hoa quả</v>
      </c>
      <c r="H196" t="str">
        <v>16. Đồ ăn &amp; Thức uống</v>
      </c>
    </row>
    <row r="197">
      <c r="A197">
        <v>200</v>
      </c>
      <c r="B197">
        <v>11</v>
      </c>
      <c r="C197" t="str">
        <v>我读大学了</v>
      </c>
      <c r="D197" t="str">
        <v>睡</v>
      </c>
      <c r="E197" t="str">
        <v>Động từ</v>
      </c>
      <c r="F197" t="str">
        <v>shuì</v>
      </c>
      <c r="G197" t="str">
        <v>ngủ</v>
      </c>
      <c r="H197" t="str">
        <v>5. Đời sống sinh hoạt</v>
      </c>
    </row>
    <row r="198">
      <c r="A198">
        <v>201</v>
      </c>
      <c r="B198">
        <v>11</v>
      </c>
      <c r="C198" t="str">
        <v>我读大学了</v>
      </c>
      <c r="D198" t="str">
        <v>睡觉</v>
      </c>
      <c r="E198" t="str">
        <v>Động từ</v>
      </c>
      <c r="F198" t="str">
        <v>shuìjiào</v>
      </c>
      <c r="G198" t="str">
        <v>ngủ</v>
      </c>
      <c r="H198" t="str">
        <v>5. Đời sống sinh hoạt</v>
      </c>
    </row>
    <row r="199">
      <c r="A199">
        <v>202</v>
      </c>
      <c r="B199">
        <v>11</v>
      </c>
      <c r="C199" t="str">
        <v>我读大学了</v>
      </c>
      <c r="D199" t="str">
        <v>说</v>
      </c>
      <c r="E199" t="str">
        <v>Động từ</v>
      </c>
      <c r="F199" t="str">
        <v>shuō</v>
      </c>
      <c r="G199" t="str">
        <v>nói</v>
      </c>
      <c r="H199" t="str">
        <v>4. Tư duy &amp; Nhận thức</v>
      </c>
    </row>
    <row r="200">
      <c r="A200">
        <v>203</v>
      </c>
      <c r="B200">
        <v>14</v>
      </c>
      <c r="C200" t="str">
        <v>我看了一个电影</v>
      </c>
      <c r="D200" t="str">
        <v>说话</v>
      </c>
      <c r="E200" t="str">
        <v>Động từ</v>
      </c>
      <c r="F200" t="str">
        <v>shuōhuà</v>
      </c>
      <c r="G200" t="str">
        <v>nói</v>
      </c>
      <c r="H200" t="str">
        <v>4. Tư duy &amp; Nhận thức</v>
      </c>
    </row>
    <row r="201">
      <c r="A201">
        <v>204</v>
      </c>
      <c r="B201">
        <v>4</v>
      </c>
      <c r="C201" t="str">
        <v>我有两个孩子</v>
      </c>
      <c r="D201" t="str">
        <v>四</v>
      </c>
      <c r="E201" t="str">
        <v>Số từ</v>
      </c>
      <c r="F201" t="str">
        <v>sì</v>
      </c>
      <c r="G201" t="str">
        <v>Bốn</v>
      </c>
      <c r="H201" t="str">
        <v>13. Số lượng &amp; Đo lường</v>
      </c>
    </row>
    <row r="202">
      <c r="A202">
        <v>205</v>
      </c>
      <c r="B202">
        <v>4</v>
      </c>
      <c r="C202" t="str">
        <v>我有两个孩子</v>
      </c>
      <c r="D202" t="str">
        <v>岁</v>
      </c>
      <c r="E202" t="str">
        <v>Lượng từ</v>
      </c>
      <c r="F202" t="str">
        <v>suì</v>
      </c>
      <c r="G202" t="str">
        <v>tuổi</v>
      </c>
      <c r="H202" t="str">
        <v>13. Số lượng &amp; Đo lường</v>
      </c>
    </row>
    <row r="203">
      <c r="A203">
        <v>206</v>
      </c>
      <c r="B203">
        <v>4</v>
      </c>
      <c r="C203" t="str">
        <v>我有两个孩子</v>
      </c>
      <c r="D203" t="str">
        <v>他</v>
      </c>
      <c r="E203" t="str">
        <v>Đại từ</v>
      </c>
      <c r="F203" t="str">
        <v>tā</v>
      </c>
      <c r="G203" t="str">
        <v>Anh ta</v>
      </c>
      <c r="H203" t="str">
        <v>1. Con người &amp; Các mối quan hệ</v>
      </c>
    </row>
    <row r="204">
      <c r="A204">
        <v>207</v>
      </c>
      <c r="B204">
        <v>14</v>
      </c>
      <c r="C204" t="str">
        <v>我看了一个电影</v>
      </c>
      <c r="D204" t="str">
        <v>他们</v>
      </c>
      <c r="E204" t="str">
        <v>Đại từ</v>
      </c>
      <c r="F204" t="str">
        <v>tāmen</v>
      </c>
      <c r="G204" t="str">
        <v>họ</v>
      </c>
      <c r="H204" t="str">
        <v>1. Con người &amp; Các mối quan hệ</v>
      </c>
    </row>
    <row r="205">
      <c r="A205">
        <v>208</v>
      </c>
      <c r="B205">
        <v>5</v>
      </c>
      <c r="C205" t="str">
        <v>今天我休息</v>
      </c>
      <c r="D205" t="str">
        <v>它</v>
      </c>
      <c r="E205" t="str">
        <v>Đại từ</v>
      </c>
      <c r="F205" t="str">
        <v>tā</v>
      </c>
      <c r="G205" t="str">
        <v>Nó</v>
      </c>
      <c r="H205" t="str">
        <v>1. Con người &amp; Các mối quan hệ</v>
      </c>
    </row>
    <row r="206">
      <c r="A206">
        <v>209</v>
      </c>
      <c r="D206" t="str">
        <v>它们</v>
      </c>
      <c r="E206" t="str">
        <v>Đại từ</v>
      </c>
      <c r="F206" t="str">
        <v>tāmen</v>
      </c>
      <c r="G206" t="str">
        <v>họ</v>
      </c>
      <c r="H206" t="str">
        <v>1. Con người &amp; Các mối quan hệ</v>
      </c>
    </row>
    <row r="207">
      <c r="A207">
        <v>210</v>
      </c>
      <c r="B207">
        <v>14</v>
      </c>
      <c r="C207" t="str">
        <v>我看了一个电影</v>
      </c>
      <c r="D207" t="str">
        <v>她们</v>
      </c>
      <c r="E207" t="str">
        <v>Đại từ</v>
      </c>
      <c r="F207" t="str">
        <v>tāmen</v>
      </c>
      <c r="G207" t="str">
        <v>họ</v>
      </c>
      <c r="H207" t="str">
        <v>1. Con người &amp; Các mối quan hệ</v>
      </c>
    </row>
    <row r="208">
      <c r="A208">
        <v>211</v>
      </c>
      <c r="B208">
        <v>3</v>
      </c>
      <c r="C208" t="str">
        <v>我是中国人</v>
      </c>
      <c r="D208" t="str">
        <v>太</v>
      </c>
      <c r="E208" t="str">
        <v>Phó từ</v>
      </c>
      <c r="F208" t="str">
        <v>tài</v>
      </c>
      <c r="G208" t="str">
        <v>cũng vậy</v>
      </c>
      <c r="H208" t="str">
        <v>14. Công cụ ngữ pháp &amp; Cấu trúc</v>
      </c>
    </row>
    <row r="209">
      <c r="A209">
        <v>212</v>
      </c>
      <c r="B209">
        <v>12</v>
      </c>
      <c r="C209" t="str">
        <v>昨天下雪了</v>
      </c>
      <c r="D209" t="str">
        <v>天</v>
      </c>
      <c r="E209" t="str">
        <v>Danh từ, Lượng từ</v>
      </c>
      <c r="F209" t="str">
        <v>tiān</v>
      </c>
      <c r="G209" t="str">
        <v>thời tiết, ngày</v>
      </c>
      <c r="H209" t="str">
        <v>15. Tự nhiên</v>
      </c>
    </row>
    <row r="210">
      <c r="A210">
        <v>213</v>
      </c>
      <c r="B210">
        <v>12</v>
      </c>
      <c r="C210" t="str">
        <v>昨天下雪了</v>
      </c>
      <c r="D210" t="str">
        <v>天气</v>
      </c>
      <c r="E210" t="str">
        <v>Danh từ</v>
      </c>
      <c r="F210" t="str">
        <v>tiānqì</v>
      </c>
      <c r="G210" t="str">
        <v>thời tiết</v>
      </c>
      <c r="H210" t="str">
        <v>15. Tự nhiên</v>
      </c>
    </row>
    <row r="211">
      <c r="A211">
        <v>214</v>
      </c>
      <c r="B211">
        <v>14</v>
      </c>
      <c r="C211" t="str">
        <v>我看了一个电影</v>
      </c>
      <c r="D211" t="str">
        <v>听</v>
      </c>
      <c r="E211" t="str">
        <v>Động từ</v>
      </c>
      <c r="F211" t="str">
        <v>tīng</v>
      </c>
      <c r="G211" t="str">
        <v>Nghe</v>
      </c>
      <c r="H211" t="str">
        <v>4. Tư duy &amp; Nhận thức</v>
      </c>
    </row>
    <row r="212">
      <c r="A212">
        <v>215</v>
      </c>
      <c r="B212">
        <v>14</v>
      </c>
      <c r="C212" t="str">
        <v>我看了一个电影</v>
      </c>
      <c r="D212" t="str">
        <v>听见</v>
      </c>
      <c r="E212" t="str">
        <v>Động từ</v>
      </c>
      <c r="F212" t="str">
        <v>tīngjiàn</v>
      </c>
      <c r="G212" t="str">
        <v>nghe</v>
      </c>
      <c r="H212" t="str">
        <v>4. Tư duy &amp; Nhận thức</v>
      </c>
    </row>
    <row r="213">
      <c r="A213">
        <v>216</v>
      </c>
      <c r="B213">
        <v>1</v>
      </c>
      <c r="C213" t="str">
        <v>AI 小语，你好！</v>
      </c>
      <c r="D213" t="str">
        <v>同学</v>
      </c>
      <c r="E213" t="str">
        <v>Danh từ</v>
      </c>
      <c r="F213" t="str">
        <v>tóngxué</v>
      </c>
      <c r="G213" t="str">
        <v>bạn cùng lớp</v>
      </c>
      <c r="H213" t="str">
        <v>1. Con người &amp; Các mối quan hệ</v>
      </c>
    </row>
    <row r="214">
      <c r="A214">
        <v>217</v>
      </c>
      <c r="B214">
        <v>8</v>
      </c>
      <c r="C214" t="str">
        <v>我明天上午在学校学习</v>
      </c>
      <c r="D214" t="str">
        <v>外</v>
      </c>
      <c r="E214" t="str">
        <v>Danh từ</v>
      </c>
      <c r="F214" t="str">
        <v>wài</v>
      </c>
      <c r="G214" t="str">
        <v>ngoài</v>
      </c>
      <c r="H214" t="str">
        <v>9. Không gian &amp; Vị trí</v>
      </c>
    </row>
    <row r="215">
      <c r="A215">
        <v>218</v>
      </c>
      <c r="B215">
        <v>9</v>
      </c>
      <c r="C215" t="str">
        <v>我明天上午在学校学习</v>
      </c>
      <c r="D215" t="str">
        <v>外边</v>
      </c>
      <c r="E215" t="str">
        <v>Danh từ</v>
      </c>
      <c r="F215" t="str">
        <v>wàibiān</v>
      </c>
      <c r="G215" t="str">
        <v>ngoài</v>
      </c>
      <c r="H215" t="str">
        <v>9. Không gian &amp; Vị trí</v>
      </c>
    </row>
    <row r="216">
      <c r="A216">
        <v>219</v>
      </c>
      <c r="B216">
        <v>9</v>
      </c>
      <c r="C216" t="str">
        <v>我明天上午在学校学习</v>
      </c>
      <c r="D216" t="str">
        <v>玩</v>
      </c>
      <c r="E216" t="str">
        <v>Động từ</v>
      </c>
      <c r="F216" t="str">
        <v>wán</v>
      </c>
      <c r="G216" t="str">
        <v>Chơi</v>
      </c>
      <c r="H216" t="str">
        <v>5. Đời sống sinh hoạt</v>
      </c>
    </row>
    <row r="217">
      <c r="A217">
        <v>220</v>
      </c>
      <c r="B217">
        <v>14</v>
      </c>
      <c r="C217" t="str">
        <v>我看了一个电影</v>
      </c>
      <c r="D217" t="str">
        <v>晚</v>
      </c>
      <c r="E217" t="str">
        <v>Tính từ</v>
      </c>
      <c r="F217" t="str">
        <v>wǎn</v>
      </c>
      <c r="G217" t="str">
        <v>Đêm</v>
      </c>
      <c r="H217" t="str">
        <v>10. Thời gian</v>
      </c>
    </row>
    <row r="218">
      <c r="A218">
        <v>221</v>
      </c>
      <c r="B218">
        <v>6</v>
      </c>
      <c r="C218" t="str">
        <v>你的手机号码是多少</v>
      </c>
      <c r="D218" t="str">
        <v>晚饭</v>
      </c>
      <c r="E218" t="str">
        <v>Danh từ</v>
      </c>
      <c r="F218" t="str">
        <v>wǎnfàn</v>
      </c>
      <c r="G218" t="str">
        <v>bữa tối</v>
      </c>
      <c r="H218" t="str">
        <v>16. Đồ ăn &amp; Thức uống</v>
      </c>
    </row>
    <row r="219">
      <c r="A219">
        <v>222</v>
      </c>
      <c r="B219">
        <v>7</v>
      </c>
      <c r="C219" t="str">
        <v>我晚上六点半下班</v>
      </c>
      <c r="D219" t="str">
        <v>晚上</v>
      </c>
      <c r="E219" t="str">
        <v>Danh từ</v>
      </c>
      <c r="F219" t="str">
        <v>wǎnshang</v>
      </c>
      <c r="G219" t="str">
        <v>đêm</v>
      </c>
      <c r="H219" t="str">
        <v>10. Thời gian</v>
      </c>
    </row>
    <row r="220">
      <c r="A220">
        <v>223</v>
      </c>
      <c r="B220">
        <v>3</v>
      </c>
      <c r="C220" t="str">
        <v>我是中国人</v>
      </c>
      <c r="D220" t="str">
        <v>喂</v>
      </c>
      <c r="E220" t="str">
        <v>Thán từ</v>
      </c>
      <c r="F220" t="str">
        <v>wèi</v>
      </c>
      <c r="G220" t="str">
        <v>Xin chào</v>
      </c>
      <c r="H220" t="str">
        <v>14. Công cụ ngữ pháp &amp; Cấu trúc</v>
      </c>
    </row>
    <row r="221">
      <c r="A221">
        <v>224</v>
      </c>
      <c r="B221">
        <v>11</v>
      </c>
      <c r="C221" t="str">
        <v>我读大学了</v>
      </c>
      <c r="D221" t="str">
        <v>问</v>
      </c>
      <c r="E221" t="str">
        <v>Động từ</v>
      </c>
      <c r="F221" t="str">
        <v>wèn</v>
      </c>
      <c r="G221" t="str">
        <v>hỏi</v>
      </c>
      <c r="H221" t="str">
        <v>4. Tư duy &amp; Nhận thức</v>
      </c>
    </row>
    <row r="222">
      <c r="A222">
        <v>225</v>
      </c>
      <c r="B222">
        <v>13</v>
      </c>
      <c r="C222" t="str">
        <v>请给我一杯茶</v>
      </c>
      <c r="D222" t="str">
        <v>问题</v>
      </c>
      <c r="E222" t="str">
        <v>Danh từ</v>
      </c>
      <c r="F222" t="str">
        <v>wèntí</v>
      </c>
      <c r="G222" t="str">
        <v>câu hỏi</v>
      </c>
      <c r="H222" t="str">
        <v>4. Tư duy &amp; Nhận thức</v>
      </c>
    </row>
    <row r="223">
      <c r="A223">
        <v>226</v>
      </c>
      <c r="B223">
        <v>2</v>
      </c>
      <c r="C223" t="str">
        <v>我叫李文</v>
      </c>
      <c r="D223" t="str">
        <v>我</v>
      </c>
      <c r="E223" t="str">
        <v>Đại từ</v>
      </c>
      <c r="F223" t="str">
        <v>wǒ</v>
      </c>
      <c r="G223" t="str">
        <v>TÔI</v>
      </c>
      <c r="H223" t="str">
        <v>1. Con người &amp; Các mối quan hệ</v>
      </c>
    </row>
    <row r="224">
      <c r="A224">
        <v>227</v>
      </c>
      <c r="B224">
        <v>3</v>
      </c>
      <c r="C224" t="str">
        <v>我是中国人</v>
      </c>
      <c r="D224" t="str">
        <v>我们</v>
      </c>
      <c r="E224" t="str">
        <v>Đại từ</v>
      </c>
      <c r="F224" t="str">
        <v>wǒmen</v>
      </c>
      <c r="G224" t="str">
        <v>chúng ta</v>
      </c>
      <c r="H224" t="str">
        <v>1. Con người &amp; Các mối quan hệ</v>
      </c>
    </row>
    <row r="225">
      <c r="A225">
        <v>228</v>
      </c>
      <c r="B225">
        <v>4</v>
      </c>
      <c r="C225" t="str">
        <v>我有两个孩子</v>
      </c>
      <c r="D225" t="str">
        <v>五</v>
      </c>
      <c r="E225" t="str">
        <v>Số từ</v>
      </c>
      <c r="F225" t="str">
        <v>wǔ</v>
      </c>
      <c r="G225" t="str">
        <v>năm</v>
      </c>
      <c r="H225" t="str">
        <v>13. Số lượng &amp; Đo lường</v>
      </c>
    </row>
    <row r="226">
      <c r="A226">
        <v>229</v>
      </c>
      <c r="B226">
        <v>8</v>
      </c>
      <c r="C226" t="str">
        <v>我明天上午在学校学习</v>
      </c>
      <c r="D226" t="str">
        <v>午饭</v>
      </c>
      <c r="E226" t="str">
        <v>Danh từ</v>
      </c>
      <c r="F226" t="str">
        <v>wǔfàn</v>
      </c>
      <c r="G226" t="str">
        <v>bữa trưa</v>
      </c>
      <c r="H226" t="str">
        <v>16. Đồ ăn &amp; Thức uống</v>
      </c>
    </row>
    <row r="227">
      <c r="A227">
        <v>230</v>
      </c>
      <c r="B227">
        <v>5</v>
      </c>
      <c r="C227" t="str">
        <v>今天我休息</v>
      </c>
      <c r="D227" t="str">
        <v>喜欢</v>
      </c>
      <c r="E227" t="str">
        <v>Động từ</v>
      </c>
      <c r="F227" t="str">
        <v>xǐhuan</v>
      </c>
      <c r="G227" t="str">
        <v>thích</v>
      </c>
      <c r="H227" t="str">
        <v>3. Cảm xúc &amp; Thái độ</v>
      </c>
    </row>
    <row r="228" xml:space="preserve">
      <c r="A228">
        <v>231</v>
      </c>
      <c r="B228">
        <v>8.12</v>
      </c>
      <c r="C228" t="str" xml:space="preserve">
        <v xml:space="preserve">我明天上午在学校学习_x000d_
昨天下雪了</v>
      </c>
      <c r="D228" t="str">
        <v>下</v>
      </c>
      <c r="E228" t="str">
        <v>Danh từ, Động từ</v>
      </c>
      <c r="F228" t="str">
        <v>xià</v>
      </c>
      <c r="G228" t="str" xml:space="preserve">
        <v xml:space="preserve">danh từ - vị trí thấp (trên bảng xếp hạng)_x000d_
động từ - rơi</v>
      </c>
      <c r="H228" t="str">
        <v>9. Không gian &amp; Vị trí</v>
      </c>
    </row>
    <row r="229">
      <c r="A229">
        <v>232</v>
      </c>
      <c r="B229">
        <v>5</v>
      </c>
      <c r="C229" t="str">
        <v>今天我休息</v>
      </c>
      <c r="D229" t="str">
        <v>下班</v>
      </c>
      <c r="E229" t="str">
        <v>Động từ</v>
      </c>
      <c r="F229" t="str">
        <v>xiàbān</v>
      </c>
      <c r="G229" t="str">
        <v>tan ca làm việc</v>
      </c>
      <c r="H229" t="str">
        <v>11. Công việc &amp; Nghề nghiệp</v>
      </c>
    </row>
    <row r="230">
      <c r="A230">
        <v>233</v>
      </c>
      <c r="B230">
        <v>7</v>
      </c>
      <c r="C230" t="str">
        <v>我晚上六点半下班</v>
      </c>
      <c r="D230" t="str">
        <v>下课</v>
      </c>
      <c r="E230" t="str">
        <v>Động từ</v>
      </c>
      <c r="F230" t="str">
        <v>xiàkè</v>
      </c>
      <c r="G230" t="str">
        <v>Ra khỏi lớp học xong</v>
      </c>
      <c r="H230" t="str">
        <v>11. Công việc &amp; Nghề nghiệp</v>
      </c>
    </row>
    <row r="231">
      <c r="A231">
        <v>234</v>
      </c>
      <c r="B231">
        <v>7</v>
      </c>
      <c r="C231" t="str">
        <v>我晚上六点半下班</v>
      </c>
      <c r="D231" t="str">
        <v>下午</v>
      </c>
      <c r="E231" t="str">
        <v>Danh từ</v>
      </c>
      <c r="F231" t="str">
        <v>xiàwǔ</v>
      </c>
      <c r="G231" t="str">
        <v>buổi chiều</v>
      </c>
      <c r="H231" t="str">
        <v>10. Thời gian</v>
      </c>
    </row>
    <row r="232">
      <c r="A232">
        <v>235</v>
      </c>
      <c r="B232">
        <v>12</v>
      </c>
      <c r="C232" t="str">
        <v>昨天下雪了</v>
      </c>
      <c r="D232" t="str">
        <v>下雨</v>
      </c>
      <c r="F232" t="str">
        <v>xiàyǔ</v>
      </c>
      <c r="G232" t="str">
        <v>mưa</v>
      </c>
      <c r="H232" t="str">
        <v>15. Tự nhiên</v>
      </c>
    </row>
    <row r="233">
      <c r="A233">
        <v>236</v>
      </c>
      <c r="B233">
        <v>13</v>
      </c>
      <c r="C233" t="str">
        <v>请给我一杯茶</v>
      </c>
      <c r="D233" t="str">
        <v>先生</v>
      </c>
      <c r="E233" t="str">
        <v>Danh từ</v>
      </c>
      <c r="F233" t="str">
        <v>xiānsheng</v>
      </c>
      <c r="G233" t="str">
        <v>thưa quý ông</v>
      </c>
      <c r="H233" t="str">
        <v>1. Con người &amp; Các mối quan hệ</v>
      </c>
    </row>
    <row r="234">
      <c r="A234">
        <v>237</v>
      </c>
      <c r="B234">
        <v>7</v>
      </c>
      <c r="C234" t="str">
        <v>我晚上六点半下班</v>
      </c>
      <c r="D234" t="str">
        <v>现在</v>
      </c>
      <c r="E234" t="str">
        <v>Danh từ</v>
      </c>
      <c r="F234" t="str">
        <v>xiànzài</v>
      </c>
      <c r="G234" t="str">
        <v>Hiện nay</v>
      </c>
      <c r="H234" t="str">
        <v>10. Thời gian</v>
      </c>
    </row>
    <row r="235" xml:space="preserve">
      <c r="A235">
        <v>238</v>
      </c>
      <c r="B235">
        <v>3.6</v>
      </c>
      <c r="C235" t="str" xml:space="preserve">
        <v xml:space="preserve">我是中国人_x000d_
你的手机号码是多少</v>
      </c>
      <c r="D235" t="str">
        <v>想</v>
      </c>
      <c r="E235" t="str">
        <v>Động từ năng nguyện</v>
      </c>
      <c r="F235" t="str">
        <v>xiǎng</v>
      </c>
      <c r="G235" t="str">
        <v>nghĩ</v>
      </c>
      <c r="H235" t="str">
        <v>4. Tư duy &amp; Nhận thức</v>
      </c>
    </row>
    <row r="236">
      <c r="A236">
        <v>239</v>
      </c>
      <c r="B236">
        <v>8</v>
      </c>
      <c r="C236" t="str">
        <v>我明天上午在学校学习</v>
      </c>
      <c r="D236" t="str">
        <v>小</v>
      </c>
      <c r="E236" t="str">
        <v>Tính từ</v>
      </c>
      <c r="F236" t="str">
        <v>xiǎo</v>
      </c>
      <c r="G236" t="str">
        <v>Bé nhỏ</v>
      </c>
      <c r="H236" t="str">
        <v>12. Miêu tả &amp; Đánh giá</v>
      </c>
    </row>
    <row r="237">
      <c r="A237">
        <v>240</v>
      </c>
      <c r="B237">
        <v>11</v>
      </c>
      <c r="C237" t="str">
        <v>我读大学了</v>
      </c>
      <c r="D237" t="str">
        <v>小朋友</v>
      </c>
      <c r="E237" t="str">
        <v>Danh từ</v>
      </c>
      <c r="F237" t="str">
        <v>xiǎopéngyou</v>
      </c>
      <c r="G237" t="str">
        <v>đứa trẻ</v>
      </c>
      <c r="H237" t="str">
        <v>1. Con người &amp; Các mối quan hệ</v>
      </c>
    </row>
    <row r="238">
      <c r="A238">
        <v>241</v>
      </c>
      <c r="B238">
        <v>15</v>
      </c>
      <c r="C238" t="str">
        <v>大兴机场见！</v>
      </c>
      <c r="D238" t="str">
        <v>小时</v>
      </c>
      <c r="E238" t="str">
        <v>Danh từ</v>
      </c>
      <c r="F238" t="str">
        <v>xiǎoshí</v>
      </c>
      <c r="G238" t="str">
        <v>Giờ</v>
      </c>
      <c r="H238" t="str">
        <v>10. Thời gian</v>
      </c>
    </row>
    <row r="239">
      <c r="A239">
        <v>242</v>
      </c>
      <c r="B239">
        <v>14</v>
      </c>
      <c r="C239" t="str">
        <v>我看了一个电影</v>
      </c>
      <c r="D239" t="str">
        <v>小学</v>
      </c>
      <c r="E239" t="str">
        <v>Danh từ</v>
      </c>
      <c r="F239" t="str">
        <v>xiǎoxué</v>
      </c>
      <c r="G239" t="str">
        <v>trường tiểu học</v>
      </c>
      <c r="H239" t="str">
        <v>7. Địa điểm &amp; Nơi chốn</v>
      </c>
    </row>
    <row r="240">
      <c r="A240">
        <v>243</v>
      </c>
      <c r="B240">
        <v>14</v>
      </c>
      <c r="C240" t="str">
        <v>我看了一个电影</v>
      </c>
      <c r="D240" t="str">
        <v>小学生</v>
      </c>
      <c r="E240" t="str">
        <v>Danh từ</v>
      </c>
      <c r="F240" t="str">
        <v>xiǎoxuéshēng</v>
      </c>
      <c r="G240" t="str">
        <v>học sinh tiểu học</v>
      </c>
      <c r="H240" t="str">
        <v>11. Công việc &amp; Nghề nghiệp</v>
      </c>
    </row>
    <row r="241">
      <c r="A241">
        <v>244</v>
      </c>
      <c r="B241">
        <v>6</v>
      </c>
      <c r="C241" t="str">
        <v>你的手机号码是多少</v>
      </c>
      <c r="D241" t="str">
        <v>些</v>
      </c>
      <c r="E241" t="str">
        <v>Lượng từ</v>
      </c>
      <c r="F241" t="str">
        <v>xiē</v>
      </c>
      <c r="G241" t="str">
        <v>một số</v>
      </c>
      <c r="H241" t="str">
        <v>13. Số lượng &amp; Đo lường</v>
      </c>
    </row>
    <row r="242">
      <c r="A242">
        <v>245</v>
      </c>
      <c r="B242">
        <v>14</v>
      </c>
      <c r="C242" t="str">
        <v>我看了一个电影</v>
      </c>
      <c r="D242" t="str">
        <v>写</v>
      </c>
      <c r="E242" t="str">
        <v>Động từ</v>
      </c>
      <c r="F242" t="str">
        <v>xiě</v>
      </c>
      <c r="G242" t="str">
        <v>Viết</v>
      </c>
      <c r="H242" t="str">
        <v>5. Đời sống sinh hoạt</v>
      </c>
    </row>
    <row r="243">
      <c r="A243">
        <v>246</v>
      </c>
      <c r="B243">
        <v>1</v>
      </c>
      <c r="C243" t="str">
        <v>AI 小语，你好！</v>
      </c>
      <c r="D243" t="str">
        <v>谢谢</v>
      </c>
      <c r="E243" t="str">
        <v>Động từ</v>
      </c>
      <c r="F243" t="str">
        <v>xièxie</v>
      </c>
      <c r="G243" t="str">
        <v>Cảm ơn</v>
      </c>
      <c r="H243" t="str">
        <v>14. Công cụ ngữ pháp &amp; Cấu trúc</v>
      </c>
    </row>
    <row r="244">
      <c r="A244">
        <v>247</v>
      </c>
      <c r="B244">
        <v>5</v>
      </c>
      <c r="C244" t="str">
        <v>今天我休息</v>
      </c>
      <c r="D244" t="str">
        <v>新</v>
      </c>
      <c r="E244" t="str">
        <v>Tính từ</v>
      </c>
      <c r="F244" t="str">
        <v>xīn</v>
      </c>
      <c r="G244" t="str">
        <v>mới</v>
      </c>
      <c r="H244" t="str">
        <v>12. Miêu tả &amp; Đánh giá</v>
      </c>
    </row>
    <row r="245">
      <c r="A245">
        <v>248</v>
      </c>
      <c r="B245">
        <v>5</v>
      </c>
      <c r="C245" t="str">
        <v>今天我休息</v>
      </c>
      <c r="D245" t="str">
        <v>星期</v>
      </c>
      <c r="E245" t="str">
        <v>Danh từ</v>
      </c>
      <c r="F245" t="str">
        <v>xīngqī</v>
      </c>
      <c r="G245" t="str">
        <v>Tuần</v>
      </c>
      <c r="H245" t="str">
        <v>10. Thời gian</v>
      </c>
    </row>
    <row r="246">
      <c r="A246">
        <v>249</v>
      </c>
      <c r="B246">
        <v>5</v>
      </c>
      <c r="C246" t="str">
        <v>今天我休息</v>
      </c>
      <c r="D246" t="str">
        <v>星期日</v>
      </c>
      <c r="E246" t="str">
        <v>Danh từ</v>
      </c>
      <c r="F246" t="str">
        <v>xīngqīrì</v>
      </c>
      <c r="G246" t="str">
        <v>Chủ nhật</v>
      </c>
      <c r="H246" t="str">
        <v>10. Thời gian</v>
      </c>
    </row>
    <row r="247">
      <c r="A247">
        <v>250</v>
      </c>
      <c r="B247">
        <v>5</v>
      </c>
      <c r="C247" t="str">
        <v>今天我休息</v>
      </c>
      <c r="D247" t="str">
        <v>星期天</v>
      </c>
      <c r="E247" t="str">
        <v>Danh từ</v>
      </c>
      <c r="F247" t="str">
        <v>xīngqītiān</v>
      </c>
      <c r="G247" t="str">
        <v>Chủ nhật</v>
      </c>
      <c r="H247" t="str">
        <v>10. Thời gian</v>
      </c>
    </row>
    <row r="248">
      <c r="A248">
        <v>251</v>
      </c>
      <c r="B248">
        <v>5</v>
      </c>
      <c r="C248" t="str">
        <v>今天我休息</v>
      </c>
      <c r="D248" t="str">
        <v>休息</v>
      </c>
      <c r="E248" t="str">
        <v>Động từ</v>
      </c>
      <c r="F248" t="str">
        <v>xiūxi</v>
      </c>
      <c r="G248" t="str">
        <v>nghỉ ngơi</v>
      </c>
      <c r="H248" t="str">
        <v>5. Đời sống sinh hoạt</v>
      </c>
    </row>
    <row r="249">
      <c r="A249">
        <v>252</v>
      </c>
      <c r="B249">
        <v>11</v>
      </c>
      <c r="C249" t="str">
        <v>我读大学了</v>
      </c>
      <c r="D249" t="str">
        <v>学</v>
      </c>
      <c r="E249" t="str">
        <v>Động từ</v>
      </c>
      <c r="F249" t="str">
        <v>xué</v>
      </c>
      <c r="G249" t="str">
        <v>học</v>
      </c>
      <c r="H249" t="str">
        <v>4. Tư duy &amp; Nhận thức</v>
      </c>
    </row>
    <row r="250">
      <c r="A250">
        <v>253</v>
      </c>
      <c r="B250">
        <v>1</v>
      </c>
      <c r="C250" t="str">
        <v>AI 小语，你好！</v>
      </c>
      <c r="D250" t="str">
        <v>学生</v>
      </c>
      <c r="E250" t="str">
        <v>Danh từ</v>
      </c>
      <c r="F250" t="str">
        <v>xuésheng</v>
      </c>
      <c r="G250" t="str">
        <v>học sinh</v>
      </c>
      <c r="H250" t="str">
        <v>11. Công việc &amp; Nghề nghiệp</v>
      </c>
    </row>
    <row r="251">
      <c r="A251">
        <v>254</v>
      </c>
      <c r="B251">
        <v>9</v>
      </c>
      <c r="C251" t="str">
        <v>我明天上午在学校学习</v>
      </c>
      <c r="D251" t="str">
        <v>学习</v>
      </c>
      <c r="E251" t="str">
        <v>Động từ</v>
      </c>
      <c r="F251" t="str">
        <v>xuéxí</v>
      </c>
      <c r="G251" t="str">
        <v>học</v>
      </c>
      <c r="H251" t="str">
        <v>4. Tư duy &amp; Nhận thức</v>
      </c>
    </row>
    <row r="252">
      <c r="A252">
        <v>255</v>
      </c>
      <c r="B252">
        <v>8</v>
      </c>
      <c r="C252" t="str">
        <v>我明天上午在学校学习</v>
      </c>
      <c r="D252" t="str">
        <v>学校</v>
      </c>
      <c r="E252" t="str">
        <v>Danh từ</v>
      </c>
      <c r="F252" t="str">
        <v>xuéxiào</v>
      </c>
      <c r="G252" t="str">
        <v>Trường học</v>
      </c>
      <c r="H252" t="str">
        <v>7. Địa điểm &amp; Nơi chốn</v>
      </c>
    </row>
    <row r="253">
      <c r="A253">
        <v>256</v>
      </c>
      <c r="B253">
        <v>12</v>
      </c>
      <c r="C253" t="str">
        <v>昨天下雪了</v>
      </c>
      <c r="D253" t="str">
        <v>雪</v>
      </c>
      <c r="E253" t="str">
        <v>Danh từ</v>
      </c>
      <c r="F253" t="str">
        <v>xuě</v>
      </c>
      <c r="G253" t="str">
        <v>Tuyết</v>
      </c>
      <c r="H253" t="str">
        <v>15. Tự nhiên</v>
      </c>
    </row>
    <row r="254">
      <c r="A254">
        <v>257</v>
      </c>
      <c r="B254">
        <v>12</v>
      </c>
      <c r="C254" t="str">
        <v>昨天下雪了</v>
      </c>
      <c r="D254" t="str">
        <v>药</v>
      </c>
      <c r="E254" t="str">
        <v>Danh từ</v>
      </c>
      <c r="F254" t="str">
        <v>yào</v>
      </c>
      <c r="G254" t="str">
        <v>thuốc</v>
      </c>
      <c r="H254" t="str">
        <v>2. Cơ thể &amp; Sức khỏe</v>
      </c>
    </row>
    <row r="255" xml:space="preserve">
      <c r="A255">
        <v>258</v>
      </c>
      <c r="B255" t="str">
        <v>11,13,15</v>
      </c>
      <c r="C255" t="str" xml:space="preserve">
        <v xml:space="preserve">大兴机场见！_x000d_
请给我一杯茶_x000d_
我读大学了</v>
      </c>
      <c r="D255" t="str">
        <v>要</v>
      </c>
      <c r="E255" t="str">
        <v>Động từ năng nguyện</v>
      </c>
      <c r="F255" t="str">
        <v>yào</v>
      </c>
      <c r="G255" t="str">
        <v>muốn; cần, lấy</v>
      </c>
      <c r="H255" t="str">
        <v>14. Công cụ ngữ pháp &amp; Cấu trúc</v>
      </c>
    </row>
    <row r="256">
      <c r="A256">
        <v>259</v>
      </c>
      <c r="B256">
        <v>2</v>
      </c>
      <c r="C256" t="str">
        <v>我叫李文</v>
      </c>
      <c r="D256" t="str">
        <v>也</v>
      </c>
      <c r="E256" t="str">
        <v>Phó từ</v>
      </c>
      <c r="F256" t="str">
        <v>yě</v>
      </c>
      <c r="G256" t="str">
        <v>Mà còn</v>
      </c>
      <c r="H256" t="str">
        <v>14. Công cụ ngữ pháp &amp; Cấu trúc</v>
      </c>
    </row>
    <row r="257">
      <c r="A257">
        <v>260</v>
      </c>
      <c r="B257">
        <v>4</v>
      </c>
      <c r="C257" t="str">
        <v>我有两个孩子</v>
      </c>
      <c r="D257" t="str">
        <v>一</v>
      </c>
      <c r="E257" t="str">
        <v>Số từ</v>
      </c>
      <c r="F257" t="str">
        <v>yī</v>
      </c>
      <c r="G257" t="str">
        <v>một</v>
      </c>
      <c r="H257" t="str">
        <v>13. Số lượng &amp; Đo lường</v>
      </c>
    </row>
    <row r="258">
      <c r="A258">
        <v>261</v>
      </c>
      <c r="B258">
        <v>13</v>
      </c>
      <c r="C258" t="str">
        <v>请给我一杯茶</v>
      </c>
      <c r="D258" t="str">
        <v>一半</v>
      </c>
      <c r="E258" t="str">
        <v>Số từ</v>
      </c>
      <c r="F258" t="str">
        <v>yíbàn</v>
      </c>
      <c r="G258" t="str">
        <v>một nửa</v>
      </c>
      <c r="H258" t="str">
        <v>13. Số lượng &amp; Đo lường</v>
      </c>
    </row>
    <row r="259">
      <c r="A259">
        <v>262</v>
      </c>
      <c r="B259">
        <v>13</v>
      </c>
      <c r="C259" t="str">
        <v>请给我一杯茶</v>
      </c>
      <c r="D259" t="str">
        <v>一下</v>
      </c>
      <c r="E259" t="str">
        <v>Lượng từ, Số từ</v>
      </c>
      <c r="F259" t="str">
        <v>yíxià</v>
      </c>
      <c r="G259" t="str">
        <v>một lần</v>
      </c>
      <c r="H259" t="str">
        <v>13. Số lượng &amp; Đo lường</v>
      </c>
    </row>
    <row r="260">
      <c r="A260">
        <v>263</v>
      </c>
      <c r="B260">
        <v>12</v>
      </c>
      <c r="C260" t="str">
        <v>昨天下雪了</v>
      </c>
      <c r="D260" t="str">
        <v>一点儿</v>
      </c>
      <c r="E260" t="str">
        <v>Số từ</v>
      </c>
      <c r="F260" t="str">
        <v>yìdiǎnr</v>
      </c>
      <c r="G260" t="str">
        <v>một chút</v>
      </c>
      <c r="H260" t="str">
        <v>13. Số lượng &amp; Đo lường</v>
      </c>
    </row>
    <row r="261">
      <c r="A261">
        <v>264</v>
      </c>
      <c r="B261">
        <v>5</v>
      </c>
      <c r="C261" t="str">
        <v>今天我休息</v>
      </c>
      <c r="D261" t="str">
        <v>一些</v>
      </c>
      <c r="E261" t="str">
        <v>Số từ</v>
      </c>
      <c r="F261" t="str">
        <v>yìxiē</v>
      </c>
      <c r="G261" t="str">
        <v>Một số</v>
      </c>
      <c r="H261" t="str">
        <v>13. Số lượng &amp; Đo lường</v>
      </c>
    </row>
    <row r="262">
      <c r="A262">
        <v>265</v>
      </c>
      <c r="B262">
        <v>10</v>
      </c>
      <c r="C262" t="str">
        <v>这儿的苹果真便宜</v>
      </c>
      <c r="D262" t="str">
        <v>衣服</v>
      </c>
      <c r="E262" t="str">
        <v>Danh từ</v>
      </c>
      <c r="F262" t="str">
        <v>yīfu</v>
      </c>
      <c r="G262" t="str">
        <v>quần áo</v>
      </c>
      <c r="H262" t="str">
        <v>6. Đồ vật &amp; Công cụ</v>
      </c>
    </row>
    <row r="263">
      <c r="A263">
        <v>266</v>
      </c>
      <c r="B263">
        <v>11</v>
      </c>
      <c r="C263" t="str">
        <v>我读大学了</v>
      </c>
      <c r="D263" t="str">
        <v>医</v>
      </c>
      <c r="E263" t="str">
        <v>Danh từ</v>
      </c>
      <c r="F263" t="str">
        <v>yī</v>
      </c>
      <c r="G263" t="str">
        <v>y học</v>
      </c>
      <c r="H263" t="str">
        <v>11. Công việc &amp; Nghề nghiệp</v>
      </c>
    </row>
    <row r="264">
      <c r="A264">
        <v>267</v>
      </c>
      <c r="B264">
        <v>8</v>
      </c>
      <c r="C264" t="str">
        <v>我明天上午在学校学习</v>
      </c>
      <c r="D264" t="str">
        <v>医生</v>
      </c>
      <c r="E264" t="str">
        <v>Danh từ</v>
      </c>
      <c r="F264" t="str">
        <v>yīshēng</v>
      </c>
      <c r="G264" t="str">
        <v>bác sĩ</v>
      </c>
      <c r="H264" t="str">
        <v>11. Công việc &amp; Nghề nghiệp</v>
      </c>
    </row>
    <row r="265">
      <c r="A265">
        <v>268</v>
      </c>
      <c r="B265">
        <v>7</v>
      </c>
      <c r="C265" t="str">
        <v>我晚上六点半下班</v>
      </c>
      <c r="D265" t="str">
        <v>医院</v>
      </c>
      <c r="E265" t="str">
        <v>Danh từ</v>
      </c>
      <c r="F265" t="str">
        <v>yīyuàn</v>
      </c>
      <c r="G265" t="str">
        <v>Bệnh viện</v>
      </c>
      <c r="H265" t="str">
        <v>7. Địa điểm &amp; Nơi chốn</v>
      </c>
    </row>
    <row r="266">
      <c r="A266">
        <v>269</v>
      </c>
      <c r="B266">
        <v>9</v>
      </c>
      <c r="C266" t="str">
        <v>我明天上午在学校学习</v>
      </c>
      <c r="D266" t="str">
        <v>椅子</v>
      </c>
      <c r="E266" t="str">
        <v>Danh từ</v>
      </c>
      <c r="F266" t="str">
        <v>yǐzi</v>
      </c>
      <c r="G266" t="str">
        <v>Ghế</v>
      </c>
      <c r="H266" t="str">
        <v>6. Đồ vật &amp; Công cụ</v>
      </c>
    </row>
    <row r="267">
      <c r="A267">
        <v>270</v>
      </c>
      <c r="B267">
        <v>4</v>
      </c>
      <c r="C267" t="str">
        <v>我有两个孩子</v>
      </c>
      <c r="D267" t="str">
        <v>有</v>
      </c>
      <c r="E267" t="str">
        <v>Động từ</v>
      </c>
      <c r="F267" t="str">
        <v>yǒu</v>
      </c>
      <c r="G267" t="str">
        <v>có</v>
      </c>
      <c r="H267" t="str">
        <v>13. Số lượng &amp; Đo lường</v>
      </c>
    </row>
    <row r="268">
      <c r="A268">
        <v>271</v>
      </c>
      <c r="B268">
        <v>14</v>
      </c>
      <c r="C268" t="str">
        <v>我看了一个电影</v>
      </c>
      <c r="D268" t="str">
        <v>有的</v>
      </c>
      <c r="E268" t="str">
        <v>Đại từ</v>
      </c>
      <c r="F268" t="str">
        <v>yǒude</v>
      </c>
      <c r="G268" t="str">
        <v>một số</v>
      </c>
      <c r="H268" t="str">
        <v>13. Số lượng &amp; Đo lường</v>
      </c>
    </row>
    <row r="269">
      <c r="A269">
        <v>272</v>
      </c>
      <c r="B269">
        <v>12</v>
      </c>
      <c r="C269" t="str">
        <v>昨天下雪了</v>
      </c>
      <c r="D269" t="str">
        <v>有点儿</v>
      </c>
      <c r="E269" t="str">
        <v>Phó từ</v>
      </c>
      <c r="F269" t="str">
        <v>yǒudiǎnr</v>
      </c>
      <c r="G269" t="str">
        <v>có chút hơi...</v>
      </c>
      <c r="H269" t="str">
        <v>13. Số lượng &amp; Đo lường</v>
      </c>
    </row>
    <row r="270">
      <c r="A270">
        <v>273</v>
      </c>
      <c r="B270">
        <v>14</v>
      </c>
      <c r="C270" t="str">
        <v>我看了一个电影</v>
      </c>
      <c r="D270" t="str">
        <v>有些</v>
      </c>
      <c r="E270" t="str">
        <v>Đại từ</v>
      </c>
      <c r="F270" t="str">
        <v>yǒuxiē</v>
      </c>
      <c r="G270" t="str">
        <v>một số</v>
      </c>
      <c r="H270" t="str">
        <v>13. Số lượng &amp; Đo lường</v>
      </c>
    </row>
    <row r="271">
      <c r="A271">
        <v>274</v>
      </c>
      <c r="B271">
        <v>12</v>
      </c>
      <c r="C271" t="str">
        <v>昨天下雪了</v>
      </c>
      <c r="D271" t="str">
        <v>雨</v>
      </c>
      <c r="E271" t="str">
        <v>Danh từ</v>
      </c>
      <c r="F271" t="str">
        <v>yǔ</v>
      </c>
      <c r="G271" t="str">
        <v>cơn mưa</v>
      </c>
      <c r="H271" t="str">
        <v>15. Tự nhiên</v>
      </c>
    </row>
    <row r="272">
      <c r="A272">
        <v>275</v>
      </c>
      <c r="B272">
        <v>10</v>
      </c>
      <c r="C272" t="str">
        <v>这儿的苹果真便宜</v>
      </c>
      <c r="D272" t="str">
        <v>元</v>
      </c>
      <c r="E272" t="str">
        <v>Lượng từ</v>
      </c>
      <c r="F272" t="str">
        <v>yuán</v>
      </c>
      <c r="G272" t="str">
        <v>đơn vị tiền Nhân Dân Tệ</v>
      </c>
      <c r="H272" t="str">
        <v>6. Đồ vật &amp; Công cụ</v>
      </c>
    </row>
    <row r="273">
      <c r="A273">
        <v>276</v>
      </c>
      <c r="B273">
        <v>5</v>
      </c>
      <c r="C273" t="str">
        <v>今天我休息</v>
      </c>
      <c r="D273" t="str">
        <v>月</v>
      </c>
      <c r="E273" t="str">
        <v>Danh từ</v>
      </c>
      <c r="F273" t="str">
        <v>yuè</v>
      </c>
      <c r="G273" t="str">
        <v>mặt trăng</v>
      </c>
      <c r="H273" t="str">
        <v>10. Thời gian</v>
      </c>
    </row>
    <row r="274" xml:space="preserve">
      <c r="A274">
        <v>277</v>
      </c>
      <c r="B274">
        <v>12.13</v>
      </c>
      <c r="C274" t="str" xml:space="preserve">
        <v xml:space="preserve">请给我一杯茶_x000d_
昨天下雪了</v>
      </c>
      <c r="D274" t="str">
        <v>再</v>
      </c>
      <c r="E274" t="str">
        <v>Phó từ</v>
      </c>
      <c r="F274" t="str">
        <v>zài</v>
      </c>
      <c r="G274" t="str">
        <v>Lại</v>
      </c>
      <c r="H274" t="str">
        <v>14. Công cụ ngữ pháp &amp; Cấu trúc</v>
      </c>
    </row>
    <row r="275">
      <c r="A275">
        <v>278</v>
      </c>
      <c r="B275">
        <v>1</v>
      </c>
      <c r="C275" t="str">
        <v>AI 小语，你好！</v>
      </c>
      <c r="D275" t="str">
        <v>再见</v>
      </c>
      <c r="E275" t="str">
        <v>Động từ</v>
      </c>
      <c r="F275" t="str">
        <v>zàijiàn</v>
      </c>
      <c r="G275" t="str">
        <v>tạm biệt</v>
      </c>
      <c r="H275" t="str">
        <v>14. Công cụ ngữ pháp &amp; Cấu trúc</v>
      </c>
    </row>
    <row r="276" xml:space="preserve">
      <c r="A276">
        <v>279</v>
      </c>
      <c r="B276">
        <v>40762</v>
      </c>
      <c r="C276" t="str" xml:space="preserve">
        <v xml:space="preserve">我晚上六点半下班_x000d_
我明天上午在学校学习_x000d_
我读大学了</v>
      </c>
      <c r="D276" t="str">
        <v>在</v>
      </c>
      <c r="E276" t="str">
        <v>Động từ, Phó từ</v>
      </c>
      <c r="F276" t="str">
        <v>zài</v>
      </c>
      <c r="G276" t="str">
        <v>hiện hữu, đang diễn ra</v>
      </c>
      <c r="H276" t="str">
        <v>14. Công cụ ngữ pháp &amp; Cấu trúc</v>
      </c>
    </row>
    <row r="277">
      <c r="A277">
        <v>280</v>
      </c>
      <c r="B277">
        <v>15</v>
      </c>
      <c r="C277" t="str">
        <v>大兴机场见！</v>
      </c>
      <c r="D277" t="str">
        <v>早</v>
      </c>
      <c r="E277" t="str">
        <v>Tính từ</v>
      </c>
      <c r="F277" t="str">
        <v>zǎo</v>
      </c>
      <c r="G277" t="str">
        <v>sớm</v>
      </c>
      <c r="H277" t="str">
        <v>10. Thời gian</v>
      </c>
    </row>
    <row r="278">
      <c r="A278">
        <v>281</v>
      </c>
      <c r="B278">
        <v>13</v>
      </c>
      <c r="C278" t="str">
        <v>请给我一杯茶</v>
      </c>
      <c r="D278" t="str">
        <v>早饭</v>
      </c>
      <c r="E278" t="str">
        <v>Danh từ</v>
      </c>
      <c r="F278" t="str">
        <v>zǎofàn</v>
      </c>
      <c r="G278" t="str">
        <v>bữa sáng</v>
      </c>
      <c r="H278" t="str">
        <v>16. Đồ ăn &amp; Thức uống</v>
      </c>
    </row>
    <row r="279">
      <c r="A279">
        <v>282</v>
      </c>
      <c r="B279">
        <v>7</v>
      </c>
      <c r="C279" t="str">
        <v>我晚上六点半下班</v>
      </c>
      <c r="D279" t="str">
        <v>早上</v>
      </c>
      <c r="E279" t="str">
        <v>Danh từ</v>
      </c>
      <c r="F279" t="str">
        <v>zǎoshang</v>
      </c>
      <c r="G279" t="str">
        <v>Buổi sáng</v>
      </c>
      <c r="H279" t="str">
        <v>15. Tự nhiên</v>
      </c>
    </row>
    <row r="280">
      <c r="A280">
        <v>283</v>
      </c>
      <c r="B280">
        <v>6</v>
      </c>
      <c r="C280" t="str">
        <v>你的手机号码是多少</v>
      </c>
      <c r="D280" t="str">
        <v>怎么</v>
      </c>
      <c r="E280" t="str">
        <v>Đại từ</v>
      </c>
      <c r="F280" t="str">
        <v>zěnme</v>
      </c>
      <c r="G280" t="str">
        <v>Làm sao</v>
      </c>
      <c r="H280" t="str">
        <v>14. Công cụ ngữ pháp &amp; Cấu trúc</v>
      </c>
    </row>
    <row r="281">
      <c r="A281">
        <v>284</v>
      </c>
      <c r="B281">
        <v>10</v>
      </c>
      <c r="C281" t="str">
        <v>这儿的苹果真便宜</v>
      </c>
      <c r="D281" t="str">
        <v>怎么样</v>
      </c>
      <c r="E281" t="str">
        <v>Đại từ</v>
      </c>
      <c r="F281" t="str">
        <v>zěnmeyàng</v>
      </c>
      <c r="G281" t="str">
        <v>Thế nào?</v>
      </c>
      <c r="H281" t="str">
        <v>14. Công cụ ngữ pháp &amp; Cấu trúc</v>
      </c>
    </row>
    <row r="282">
      <c r="A282">
        <v>285</v>
      </c>
      <c r="B282">
        <v>11</v>
      </c>
      <c r="C282" t="str">
        <v>我读大学了</v>
      </c>
      <c r="D282" t="str">
        <v>找</v>
      </c>
      <c r="E282" t="str">
        <v>Động từ</v>
      </c>
      <c r="F282" t="str">
        <v>zhǎo</v>
      </c>
      <c r="G282" t="str">
        <v>cố gắng tìm</v>
      </c>
      <c r="H282" t="str">
        <v>5. Đời sống sinh hoạt</v>
      </c>
    </row>
    <row r="283">
      <c r="A283">
        <v>286</v>
      </c>
      <c r="B283">
        <v>3</v>
      </c>
      <c r="C283" t="str">
        <v>我是中国人</v>
      </c>
      <c r="D283" t="str">
        <v>中国</v>
      </c>
      <c r="F283" t="str">
        <v xml:space="preserve">Zhōngguó </v>
      </c>
      <c r="G283" t="str">
        <v>Trung Quốc</v>
      </c>
      <c r="H283" t="str">
        <v>7. Địa điểm &amp; Nơi chốn</v>
      </c>
    </row>
    <row r="284">
      <c r="A284">
        <v>287</v>
      </c>
      <c r="B284">
        <v>3</v>
      </c>
      <c r="C284" t="str">
        <v>我是中国人</v>
      </c>
      <c r="D284" t="str">
        <v>法国</v>
      </c>
      <c r="F284" t="str">
        <v>Fǎguó</v>
      </c>
      <c r="G284" t="str">
        <v>Pháp</v>
      </c>
      <c r="H284" t="str">
        <v>7. Địa điểm &amp; Nơi chốn</v>
      </c>
    </row>
    <row r="285">
      <c r="A285">
        <v>288</v>
      </c>
      <c r="B285">
        <v>3</v>
      </c>
      <c r="C285" t="str">
        <v>我是中国人</v>
      </c>
      <c r="D285" t="str">
        <v>泰国</v>
      </c>
      <c r="F285" t="str">
        <v>tàiguó</v>
      </c>
      <c r="G285" t="str">
        <v>Thái Lan</v>
      </c>
      <c r="H285" t="str">
        <v>7. Địa điểm &amp; Nơi chốn</v>
      </c>
    </row>
    <row r="286">
      <c r="A286">
        <v>289</v>
      </c>
      <c r="B286">
        <v>3</v>
      </c>
      <c r="C286" t="str">
        <v>我是中国人</v>
      </c>
      <c r="D286" t="str">
        <v>中文</v>
      </c>
      <c r="F286" t="str">
        <v xml:space="preserve">zhōngwén </v>
      </c>
      <c r="G286" t="str">
        <v>Tiếng Trung</v>
      </c>
      <c r="H286" t="str">
        <v>6. Đồ vật &amp; Công cụ</v>
      </c>
    </row>
    <row r="287">
      <c r="A287">
        <v>290</v>
      </c>
      <c r="B287">
        <v>3</v>
      </c>
      <c r="C287" t="str">
        <v>我是中国人</v>
      </c>
      <c r="D287" t="str">
        <v>她</v>
      </c>
      <c r="E287" t="str">
        <v>Đại từ</v>
      </c>
      <c r="F287" t="str">
        <v xml:space="preserve">tā </v>
      </c>
      <c r="G287" t="str">
        <v>cô ấy</v>
      </c>
      <c r="H287" t="str">
        <v>1. Con người &amp; Các mối quan hệ</v>
      </c>
    </row>
    <row r="288">
      <c r="A288">
        <v>291</v>
      </c>
      <c r="B288">
        <v>3</v>
      </c>
      <c r="C288" t="str">
        <v>我是中国人</v>
      </c>
      <c r="D288" t="str">
        <v>这</v>
      </c>
      <c r="E288" t="str">
        <v>Đại từ</v>
      </c>
      <c r="F288" t="str">
        <v>zhè</v>
      </c>
      <c r="G288" t="str">
        <v>cái này</v>
      </c>
      <c r="H288" t="str">
        <v>14. Công cụ ngữ pháp &amp; Cấu trúc</v>
      </c>
    </row>
    <row r="289">
      <c r="A289">
        <v>292</v>
      </c>
      <c r="B289">
        <v>10</v>
      </c>
      <c r="C289" t="str">
        <v>这儿的苹果真便宜</v>
      </c>
      <c r="D289" t="str">
        <v>这边</v>
      </c>
      <c r="E289" t="str">
        <v>Đại từ</v>
      </c>
      <c r="F289" t="str">
        <v>zhèbiān</v>
      </c>
      <c r="G289" t="str">
        <v>Theo cách này</v>
      </c>
      <c r="H289" t="str">
        <v>9. Không gian &amp; Vị trí</v>
      </c>
    </row>
    <row r="290">
      <c r="A290">
        <v>293</v>
      </c>
      <c r="B290">
        <v>13</v>
      </c>
      <c r="C290" t="str">
        <v>请给我一杯茶</v>
      </c>
      <c r="D290" t="str">
        <v>这个</v>
      </c>
      <c r="E290" t="str">
        <v>Đại từ</v>
      </c>
      <c r="F290" t="str">
        <v>zhège</v>
      </c>
      <c r="G290" t="str">
        <v>cái này</v>
      </c>
      <c r="H290" t="str">
        <v>9. Không gian &amp; Vị trí</v>
      </c>
    </row>
    <row r="291">
      <c r="A291">
        <v>294</v>
      </c>
      <c r="B291">
        <v>12</v>
      </c>
      <c r="C291" t="str">
        <v>昨天下雪了</v>
      </c>
      <c r="D291" t="str">
        <v>这里</v>
      </c>
      <c r="E291" t="str">
        <v>Đại từ</v>
      </c>
      <c r="F291" t="str">
        <v>zhèlǐ</v>
      </c>
      <c r="G291" t="str">
        <v>đây</v>
      </c>
      <c r="H291" t="str">
        <v>7. Địa điểm &amp; Nơi chốn</v>
      </c>
    </row>
    <row r="292">
      <c r="A292">
        <v>295</v>
      </c>
      <c r="B292">
        <v>10</v>
      </c>
      <c r="C292" t="str">
        <v>这儿的苹果真便宜</v>
      </c>
      <c r="D292" t="str">
        <v>这儿</v>
      </c>
      <c r="E292" t="str">
        <v>Đại từ</v>
      </c>
      <c r="F292" t="str">
        <v>zhèr</v>
      </c>
      <c r="G292" t="str">
        <v>đây</v>
      </c>
      <c r="H292" t="str">
        <v>7. Địa điểm &amp; Nơi chốn</v>
      </c>
    </row>
    <row r="293">
      <c r="A293">
        <v>296</v>
      </c>
      <c r="B293">
        <v>10</v>
      </c>
      <c r="C293" t="str">
        <v>这儿的苹果真便宜</v>
      </c>
      <c r="D293" t="str">
        <v>这些</v>
      </c>
      <c r="E293" t="str">
        <v>Đại từ</v>
      </c>
      <c r="F293" t="str">
        <v>zhèxiē</v>
      </c>
      <c r="G293" t="str">
        <v>Những cái này</v>
      </c>
      <c r="H293" t="str">
        <v>14. Công cụ ngữ pháp &amp; Cấu trúc</v>
      </c>
    </row>
    <row r="294">
      <c r="A294">
        <v>297</v>
      </c>
      <c r="B294">
        <v>5</v>
      </c>
      <c r="C294" t="str">
        <v>今天我休息</v>
      </c>
      <c r="D294" t="str">
        <v>真</v>
      </c>
      <c r="E294" t="str">
        <v>Phó từ</v>
      </c>
      <c r="F294" t="str">
        <v>zhēn</v>
      </c>
      <c r="G294" t="str">
        <v>thật, rất</v>
      </c>
      <c r="H294" t="str">
        <v>12. Miêu tả &amp; Đánh giá</v>
      </c>
    </row>
    <row r="295">
      <c r="A295">
        <v>298</v>
      </c>
      <c r="B295">
        <v>11</v>
      </c>
      <c r="C295" t="str">
        <v>我读大学了</v>
      </c>
      <c r="D295" t="str">
        <v>正在</v>
      </c>
      <c r="E295" t="str">
        <v>Phó từ</v>
      </c>
      <c r="F295" t="str">
        <v>zhèngzài</v>
      </c>
      <c r="G295" t="str">
        <v>Đang tiến hành</v>
      </c>
      <c r="H295" t="str">
        <v>12. Miêu tả &amp; Đánh giá</v>
      </c>
    </row>
    <row r="296">
      <c r="A296">
        <v>299</v>
      </c>
      <c r="B296">
        <v>8</v>
      </c>
      <c r="C296" t="str">
        <v>我明天上午在学校学习</v>
      </c>
      <c r="D296" t="str">
        <v>只</v>
      </c>
      <c r="E296" t="str">
        <v>Lượng từ</v>
      </c>
      <c r="F296" t="str">
        <v xml:space="preserve">zhī </v>
      </c>
      <c r="G296" t="str">
        <v>lượng từ dùng cho con vật</v>
      </c>
      <c r="H296" t="str">
        <v>13. Số lượng &amp; Đo lường</v>
      </c>
    </row>
    <row r="297">
      <c r="A297">
        <v>300</v>
      </c>
      <c r="B297">
        <v>11</v>
      </c>
      <c r="C297" t="str">
        <v>我读大学了</v>
      </c>
      <c r="D297" t="str">
        <v>知道</v>
      </c>
      <c r="E297" t="str">
        <v>Động từ</v>
      </c>
      <c r="F297" t="str">
        <v>zhīdào</v>
      </c>
      <c r="G297" t="str">
        <v>biết, nhận ra</v>
      </c>
      <c r="H297" t="str">
        <v>4. Tư duy &amp; Nhận thức</v>
      </c>
    </row>
    <row r="298">
      <c r="A298">
        <v>301</v>
      </c>
      <c r="B298">
        <v>14</v>
      </c>
      <c r="C298" t="str">
        <v>我看了一个电影</v>
      </c>
      <c r="D298" t="str">
        <v>中午</v>
      </c>
      <c r="E298" t="str">
        <v>Danh từ</v>
      </c>
      <c r="F298" t="str">
        <v>zhōngwǔ</v>
      </c>
      <c r="G298" t="str">
        <v>buổi trưa</v>
      </c>
      <c r="H298" t="str">
        <v>10. Thời gian</v>
      </c>
    </row>
    <row r="299">
      <c r="A299">
        <v>302</v>
      </c>
      <c r="B299">
        <v>14</v>
      </c>
      <c r="C299" t="str">
        <v>我看了一个电影</v>
      </c>
      <c r="D299" t="str">
        <v>中学</v>
      </c>
      <c r="E299" t="str">
        <v>Danh từ</v>
      </c>
      <c r="F299" t="str">
        <v>zhōngxué</v>
      </c>
      <c r="G299" t="str">
        <v>Trường trung học cơ sở</v>
      </c>
      <c r="H299" t="str">
        <v>7. Địa điểm &amp; Nơi chốn</v>
      </c>
    </row>
    <row r="300">
      <c r="A300">
        <v>303</v>
      </c>
      <c r="B300">
        <v>14</v>
      </c>
      <c r="C300" t="str">
        <v>我看了一个电影</v>
      </c>
      <c r="D300" t="str">
        <v>中学生</v>
      </c>
      <c r="E300" t="str">
        <v>Danh từ</v>
      </c>
      <c r="F300" t="str">
        <v>zhōngxuéshēng</v>
      </c>
      <c r="G300" t="str">
        <v>học sinh trung học</v>
      </c>
      <c r="H300" t="str">
        <v>11. Công việc &amp; Nghề nghiệp</v>
      </c>
    </row>
    <row r="301">
      <c r="A301">
        <v>304</v>
      </c>
      <c r="B301">
        <v>15</v>
      </c>
      <c r="C301" t="str">
        <v>大兴机场见！</v>
      </c>
      <c r="D301" t="str">
        <v>住</v>
      </c>
      <c r="E301" t="str">
        <v>Động từ</v>
      </c>
      <c r="F301" t="str">
        <v>zhù</v>
      </c>
      <c r="G301" t="str">
        <v>sống</v>
      </c>
      <c r="H301" t="str">
        <v>5. Đời sống sinh hoạt</v>
      </c>
    </row>
    <row r="302">
      <c r="A302">
        <v>305</v>
      </c>
      <c r="B302">
        <v>15</v>
      </c>
      <c r="C302" t="str">
        <v>大兴机场见！</v>
      </c>
      <c r="D302" t="str">
        <v>西安</v>
      </c>
      <c r="F302" t="str">
        <v>Xī'ān</v>
      </c>
      <c r="G302" t="str">
        <v>Tây An</v>
      </c>
      <c r="H302" t="str">
        <v>7. Địa điểm &amp; Nơi chốn</v>
      </c>
    </row>
    <row r="303">
      <c r="A303">
        <v>306</v>
      </c>
      <c r="B303">
        <v>15</v>
      </c>
      <c r="C303" t="str">
        <v>大兴机场见！</v>
      </c>
      <c r="D303" t="str">
        <v>北京</v>
      </c>
      <c r="F303" t="str">
        <v>Běijīng</v>
      </c>
      <c r="G303" t="str">
        <v>Bắc Kinh</v>
      </c>
      <c r="H303" t="str">
        <v>7. Địa điểm &amp; Nơi chốn</v>
      </c>
    </row>
    <row r="304">
      <c r="A304">
        <v>307</v>
      </c>
      <c r="B304">
        <v>8</v>
      </c>
      <c r="C304" t="str">
        <v>我明天上午在学校学习</v>
      </c>
      <c r="D304" t="str">
        <v>桌子</v>
      </c>
      <c r="E304" t="str">
        <v>Danh từ</v>
      </c>
      <c r="F304" t="str">
        <v>zhuōzi</v>
      </c>
      <c r="G304" t="str">
        <v>bàn</v>
      </c>
      <c r="H304" t="str">
        <v>6. Đồ vật &amp; Công cụ</v>
      </c>
    </row>
    <row r="305">
      <c r="A305">
        <v>308</v>
      </c>
      <c r="B305">
        <v>14</v>
      </c>
      <c r="C305" t="str">
        <v>我看了一个电影</v>
      </c>
      <c r="D305" t="str">
        <v>字</v>
      </c>
      <c r="E305" t="str">
        <v>Danh từ</v>
      </c>
      <c r="F305" t="str">
        <v>zì</v>
      </c>
      <c r="G305" t="str">
        <v>chữ cái</v>
      </c>
      <c r="H305" t="str">
        <v>6. Đồ vật &amp; Công cụ</v>
      </c>
    </row>
    <row r="306">
      <c r="A306">
        <v>309</v>
      </c>
      <c r="B306">
        <v>14</v>
      </c>
      <c r="C306" t="str">
        <v>我看了一个电影</v>
      </c>
      <c r="D306" t="str">
        <v>汉语</v>
      </c>
      <c r="E306" t="str">
        <v>Danh từ</v>
      </c>
      <c r="F306" t="str">
        <v>hànyǔ</v>
      </c>
      <c r="G306" t="str">
        <v>Tiếng Trung</v>
      </c>
      <c r="H306" t="str">
        <v>6. Đồ vật &amp; Công cụ</v>
      </c>
    </row>
    <row r="307">
      <c r="A307">
        <v>310</v>
      </c>
      <c r="B307">
        <v>14</v>
      </c>
      <c r="C307" t="str">
        <v>我看了一个电影</v>
      </c>
      <c r="D307" t="str">
        <v>汉字</v>
      </c>
      <c r="E307" t="str">
        <v>Danh từ</v>
      </c>
      <c r="F307" t="str">
        <v>hànzì</v>
      </c>
      <c r="G307" t="str">
        <v>Hán tự, chữ cái tiếng Trung</v>
      </c>
      <c r="H307" t="str">
        <v>6. Đồ vật &amp; Công cụ</v>
      </c>
    </row>
    <row r="308">
      <c r="A308">
        <v>311</v>
      </c>
      <c r="B308">
        <v>11</v>
      </c>
      <c r="C308" t="str">
        <v>我读大学了</v>
      </c>
      <c r="D308" t="str">
        <v>昨天</v>
      </c>
      <c r="E308" t="str">
        <v>Danh từ</v>
      </c>
      <c r="F308" t="str">
        <v>zuótiān</v>
      </c>
      <c r="G308" t="str">
        <v>hôm qua</v>
      </c>
      <c r="H308" t="str">
        <v>10. Thời gian</v>
      </c>
    </row>
    <row r="309" xml:space="preserve">
      <c r="A309">
        <v>312</v>
      </c>
      <c r="B309">
        <v>6.13</v>
      </c>
      <c r="C309" t="str" xml:space="preserve">
        <v xml:space="preserve">你的手机号码是多少_x000d_
请给我一杯茶</v>
      </c>
      <c r="D309" t="str">
        <v>坐</v>
      </c>
      <c r="E309" t="str">
        <v>Động từ</v>
      </c>
      <c r="F309" t="str">
        <v>zuò</v>
      </c>
      <c r="G309" t="str">
        <v>Ngồi</v>
      </c>
      <c r="H309" t="str">
        <v>8. Giao thông &amp; Di chuyển</v>
      </c>
    </row>
    <row r="310">
      <c r="A310">
        <v>313</v>
      </c>
      <c r="B310">
        <v>5.9</v>
      </c>
      <c r="C310" t="str">
        <v>我明天上午在学校学习</v>
      </c>
      <c r="D310" t="str">
        <v>做</v>
      </c>
      <c r="E310" t="str">
        <v>Động từ</v>
      </c>
      <c r="F310" t="str">
        <v>zuò</v>
      </c>
      <c r="G310" t="str">
        <v>Làm, tham gia</v>
      </c>
      <c r="H310" t="str">
        <v>5. Đời sống sinh hoạt</v>
      </c>
    </row>
    <row r="311">
      <c r="A311">
        <v>314</v>
      </c>
      <c r="B311">
        <v>5</v>
      </c>
      <c r="C311" t="str">
        <v>今天我休息</v>
      </c>
      <c r="D311" t="str">
        <v>做饭</v>
      </c>
      <c r="F311" t="str">
        <v>zuò fàn</v>
      </c>
      <c r="G311" t="str">
        <v>nấu cơm; nấu ăn</v>
      </c>
      <c r="H311" t="str">
        <v>5. Đời sống sinh hoạt</v>
      </c>
    </row>
  </sheetData>
  <ignoredErrors>
    <ignoredError numberStoredAsText="1" sqref="A1:K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t="str">
        <v>STT</v>
      </c>
      <c r="B1" t="str">
        <v>-</v>
      </c>
      <c r="C1" t="str">
        <v>Tên Bài</v>
      </c>
      <c r="D1" t="str">
        <v>Từ vựng</v>
      </c>
      <c r="E1" t="str">
        <v xml:space="preserve">Từ loại </v>
      </c>
      <c r="F1" t="str">
        <v>Phiên âm</v>
      </c>
      <c r="G1" t="str">
        <v>Nghĩa</v>
      </c>
      <c r="H1" t="str">
        <v>Chủ đề</v>
      </c>
      <c r="J1" t="str">
        <v>Ghi chú</v>
      </c>
    </row>
    <row r="2">
      <c r="A2">
        <v>1</v>
      </c>
      <c r="B2">
        <v>2</v>
      </c>
      <c r="C2" t="str">
        <v xml:space="preserve"> 还是打车去北大吧</v>
      </c>
      <c r="D2" t="str">
        <v>啊</v>
      </c>
      <c r="E2" t="str">
        <v>Trợ từ</v>
      </c>
      <c r="F2" t="str">
        <v>a</v>
      </c>
      <c r="G2" t="str">
        <f>IFERROR(__xludf.DUMMYFUNCTION("GOOGLETRANSLATE(D2,""zh"",""vi"")"),"à")</f>
        <v>à</v>
      </c>
      <c r="H2" t="str">
        <v>15. Công cụ ngữ pháp &amp; Cấu trúc:, 1. Con người &amp; Các mối quan hệ:</v>
      </c>
      <c r="J2" t="str">
        <v>Chủ đề</v>
      </c>
    </row>
    <row r="3" xml:space="preserve">
      <c r="A3">
        <v>2</v>
      </c>
      <c r="B3">
        <v>7</v>
      </c>
      <c r="C3" t="str">
        <v xml:space="preserve"> 他篮球打得很好</v>
      </c>
      <c r="D3" t="str">
        <v>爱好</v>
      </c>
      <c r="E3" t="str">
        <v>Danh từ, Động từ</v>
      </c>
      <c r="F3" t="str">
        <v>àihào</v>
      </c>
      <c r="G3" t="str" xml:space="preserve">
        <v xml:space="preserve">sở thích_x000d_
hứng thú với</v>
      </c>
      <c r="H3" t="str">
        <v>3. Cảm xúc &amp; Thái độ</v>
      </c>
    </row>
    <row r="4">
      <c r="A4">
        <v>3</v>
      </c>
      <c r="B4">
        <v>8</v>
      </c>
      <c r="C4" t="str">
        <v xml:space="preserve"> 虽然你忘了， 但是我记得</v>
      </c>
      <c r="D4" t="str">
        <v>爱情片</v>
      </c>
      <c r="E4" t="str">
        <v>Danh từ</v>
      </c>
      <c r="F4" t="str">
        <v>àiqíngpiàn</v>
      </c>
      <c r="G4" t="str">
        <v>phim tình cảm lãng mạn</v>
      </c>
      <c r="H4" t="str">
        <v>5. Đời sống sinh hoạt</v>
      </c>
    </row>
    <row r="5">
      <c r="A5">
        <v>4</v>
      </c>
      <c r="B5">
        <v>4</v>
      </c>
      <c r="C5" t="str">
        <v xml:space="preserve">  你穿红色的很好看</v>
      </c>
      <c r="D5" t="str">
        <v>白色</v>
      </c>
      <c r="E5" t="str">
        <v>Danh từ</v>
      </c>
      <c r="F5" t="str">
        <v>báisè</v>
      </c>
      <c r="G5" t="str">
        <f>IFERROR(__xludf.DUMMYFUNCTION("GOOGLETRANSLATE(D5,""zh"",""vi"")"),"Trắng")</f>
        <v>Trắng</v>
      </c>
      <c r="H5" t="str">
        <v>13. Miêu tả &amp; Đánh giá</v>
      </c>
    </row>
    <row r="6">
      <c r="A6">
        <v>5</v>
      </c>
      <c r="B6">
        <v>13</v>
      </c>
      <c r="C6" t="str">
        <v>我们爱上中文课</v>
      </c>
      <c r="D6" t="str">
        <v>班</v>
      </c>
      <c r="E6" t="str">
        <v>Danh từ</v>
      </c>
      <c r="F6" t="str">
        <v>bān</v>
      </c>
      <c r="G6" t="str">
        <f>IFERROR(__xludf.DUMMYFUNCTION("GOOGLETRANSLATE(D6,""zh"",""vi"")"),"lớp học")</f>
        <v>lớp học</v>
      </c>
      <c r="H6" t="str">
        <v>7. Địa điểm &amp; Nơi chốn</v>
      </c>
    </row>
    <row r="7">
      <c r="A7">
        <v>6</v>
      </c>
      <c r="B7">
        <v>10</v>
      </c>
      <c r="C7" t="str">
        <v xml:space="preserve"> 就要考试了</v>
      </c>
      <c r="D7" t="str">
        <v>帮</v>
      </c>
      <c r="E7" t="str">
        <v>Động từ</v>
      </c>
      <c r="F7" t="str">
        <v>bāng</v>
      </c>
      <c r="G7" t="str">
        <f>IFERROR(__xludf.DUMMYFUNCTION("GOOGLETRANSLATE(D7,""zh"",""vi"")"),"giúp đỡ")</f>
        <v>giúp đỡ</v>
      </c>
      <c r="H7" t="str">
        <v>12. Công việc &amp; Nghề nghiệp</v>
      </c>
    </row>
    <row r="8">
      <c r="A8">
        <v>7</v>
      </c>
      <c r="B8">
        <v>1</v>
      </c>
      <c r="C8" t="str">
        <v>她请我们吃北京烤鸭</v>
      </c>
      <c r="D8" t="str">
        <v>帮忙</v>
      </c>
      <c r="E8" t="str">
        <v>Động từ</v>
      </c>
      <c r="F8" t="str">
        <v>bāngmáng</v>
      </c>
      <c r="G8" t="str">
        <f>IFERROR(__xludf.DUMMYFUNCTION("GOOGLETRANSLATE(D8,""zh"",""vi"")"),"giúp đỡ")</f>
        <v>giúp đỡ</v>
      </c>
      <c r="H8" t="str">
        <v>12. Công việc &amp; Nghề nghiệp</v>
      </c>
    </row>
    <row r="9" xml:space="preserve">
      <c r="A9">
        <v>8</v>
      </c>
      <c r="B9">
        <v>14</v>
      </c>
      <c r="C9" t="str">
        <v xml:space="preserve">  一个人过年多没意思啊</v>
      </c>
      <c r="D9" t="str">
        <v>包</v>
      </c>
      <c r="E9" t="str">
        <v>Danh từ, Động từ, Lượng từ</v>
      </c>
      <c r="F9" t="str">
        <v>bāo</v>
      </c>
      <c r="G9" t="str" xml:space="preserve">
        <v xml:space="preserve">cái túi_x000d_
gói lại_x000d_
</v>
      </c>
      <c r="H9" t="str">
        <v>6. Đồ vật &amp; Công cụ</v>
      </c>
    </row>
    <row r="10">
      <c r="A10">
        <v>9</v>
      </c>
      <c r="B10">
        <v>10</v>
      </c>
      <c r="C10" t="str">
        <v xml:space="preserve"> 就要考试了</v>
      </c>
      <c r="D10" t="str">
        <v>本子</v>
      </c>
      <c r="E10" t="str">
        <v>Danh từ</v>
      </c>
      <c r="F10" t="str">
        <v>běnzi</v>
      </c>
      <c r="G10" t="str">
        <f>IFERROR(__xludf.DUMMYFUNCTION("GOOGLETRANSLATE(D10,""zh"",""vi"")"),"sách")</f>
        <v>sách</v>
      </c>
      <c r="H10" t="str">
        <v>6. Đồ vật &amp; Công cụ</v>
      </c>
    </row>
    <row r="11">
      <c r="A11">
        <v>10</v>
      </c>
      <c r="B11">
        <v>8</v>
      </c>
      <c r="C11" t="str">
        <v xml:space="preserve"> 虽然你忘了， 但是我记得</v>
      </c>
      <c r="D11" t="str">
        <v>比</v>
      </c>
      <c r="E11" t="str">
        <v>Giới từ, Động từ</v>
      </c>
      <c r="F11" t="str">
        <v>bǐ</v>
      </c>
      <c r="G11" t="str">
        <f>IFERROR(__xludf.DUMMYFUNCTION("GOOGLETRANSLATE(D11,""zh"",""vi"")"),"So sánh")</f>
        <v>So sánh</v>
      </c>
      <c r="H11" t="str">
        <v>15. Công cụ ngữ pháp &amp; Cấu trúc</v>
      </c>
    </row>
    <row r="12">
      <c r="A12">
        <v>11</v>
      </c>
      <c r="B12" t="str">
        <v>10, 13</v>
      </c>
      <c r="C12" t="str">
        <v xml:space="preserve"> 就要考试了</v>
      </c>
      <c r="D12" t="str">
        <v>笔</v>
      </c>
      <c r="E12" t="str">
        <v>Danh từ</v>
      </c>
      <c r="F12" t="str">
        <v>bǐ</v>
      </c>
      <c r="G12" t="str">
        <f>IFERROR(__xludf.DUMMYFUNCTION("GOOGLETRANSLATE(D12,""zh"",""vi"")"),"Cái bút")</f>
        <v>Cái bút</v>
      </c>
      <c r="H12" t="str">
        <v>6. Đồ vật &amp; Công cụ</v>
      </c>
    </row>
    <row r="13">
      <c r="A13">
        <v>12</v>
      </c>
      <c r="B13">
        <v>2</v>
      </c>
      <c r="C13" t="str">
        <v xml:space="preserve"> 还是打车去北大吧</v>
      </c>
      <c r="D13" t="str">
        <v>别</v>
      </c>
      <c r="E13" t="str">
        <v>Phó từ</v>
      </c>
      <c r="F13" t="str">
        <v>bié</v>
      </c>
      <c r="G13" t="str">
        <f>IFERROR(__xludf.DUMMYFUNCTION("GOOGLETRANSLATE(D13,""zh"",""vi"")"),"Đừng")</f>
        <v>Đừng</v>
      </c>
      <c r="H13" t="str">
        <v>15. Công cụ ngữ pháp &amp; Cấu trúc</v>
      </c>
    </row>
    <row r="14">
      <c r="A14">
        <v>13</v>
      </c>
      <c r="B14">
        <v>3</v>
      </c>
      <c r="C14" t="str">
        <v>我想去西安旅游</v>
      </c>
      <c r="D14" t="str">
        <v>不错</v>
      </c>
      <c r="E14" t="str">
        <v>Tính từ</v>
      </c>
      <c r="F14" t="str">
        <v>búcuò</v>
      </c>
      <c r="G14" t="str">
        <f>IFERROR(__xludf.DUMMYFUNCTION("GOOGLETRANSLATE(D14,""zh"",""vi"")"),"Tốt")</f>
        <v>Tốt</v>
      </c>
      <c r="H14" t="str">
        <v>13. Miêu tả &amp; Đánh giá</v>
      </c>
    </row>
    <row r="15">
      <c r="A15">
        <v>14</v>
      </c>
      <c r="B15">
        <v>1</v>
      </c>
      <c r="C15" t="str">
        <v>她请我们吃北京烤鸭</v>
      </c>
      <c r="D15" t="str">
        <v>不好意思</v>
      </c>
      <c r="F15" t="str">
        <v>bù hǎoyìsi</v>
      </c>
      <c r="G15" t="str">
        <v>Xin lỗi khi thấy ngại (làm việc gì đó)</v>
      </c>
      <c r="H15" t="str">
        <v>3. Cảm xúc &amp; Thái độ</v>
      </c>
    </row>
    <row r="16">
      <c r="A16">
        <v>15</v>
      </c>
      <c r="B16">
        <v>6</v>
      </c>
      <c r="C16" t="str">
        <v xml:space="preserve"> 小雪，生日快乐！</v>
      </c>
      <c r="D16" t="str">
        <v>长</v>
      </c>
      <c r="E16" t="str">
        <v>Tính từ</v>
      </c>
      <c r="F16" t="str">
        <v>cháng</v>
      </c>
      <c r="G16" t="str">
        <f>IFERROR(__xludf.DUMMYFUNCTION("GOOGLETRANSLATE(D16,""zh"",""vi"")"),"dài")</f>
        <v>dài</v>
      </c>
      <c r="H16" t="str">
        <v>14. Số lượng &amp; Đo lường</v>
      </c>
    </row>
    <row r="17">
      <c r="A17">
        <v>16</v>
      </c>
      <c r="B17">
        <v>2</v>
      </c>
      <c r="C17" t="str">
        <v xml:space="preserve"> 还是打车去北大吧</v>
      </c>
      <c r="D17" t="str">
        <v>车站</v>
      </c>
      <c r="E17" t="str">
        <v>Danh từ</v>
      </c>
      <c r="F17" t="str">
        <v>chēzhàn</v>
      </c>
      <c r="G17" t="str">
        <v>trạm xe</v>
      </c>
      <c r="H17" t="str">
        <v>7. Địa điểm &amp; Nơi chốn</v>
      </c>
    </row>
    <row r="18">
      <c r="A18">
        <v>17</v>
      </c>
      <c r="B18">
        <v>15</v>
      </c>
      <c r="C18" t="str">
        <v>我想去一次中国</v>
      </c>
      <c r="D18" t="str">
        <v>出国</v>
      </c>
      <c r="E18" t="str">
        <v>Động từ</v>
      </c>
      <c r="F18" t="str">
        <v>chūguó</v>
      </c>
      <c r="G18" t="str">
        <f>IFERROR(__xludf.DUMMYFUNCTION("GOOGLETRANSLATE(D18,""zh"",""vi"")"),"Đi nước ngoài")</f>
        <v>Đi nước ngoài</v>
      </c>
      <c r="H18" t="str">
        <v>7. Địa điểm &amp; Nơi chốn</v>
      </c>
    </row>
    <row r="19">
      <c r="A19">
        <v>18</v>
      </c>
      <c r="B19">
        <v>15</v>
      </c>
      <c r="C19" t="str">
        <v>我想去一次中国</v>
      </c>
      <c r="D19" t="str">
        <v>出门</v>
      </c>
      <c r="E19" t="str">
        <v>Động từ</v>
      </c>
      <c r="F19" t="str">
        <v>chūmén</v>
      </c>
      <c r="G19" t="str">
        <f>IFERROR(__xludf.DUMMYFUNCTION("GOOGLETRANSLATE(D19,""zh"",""vi"")"),"Đi ra ngoài")</f>
        <v>Đi ra ngoài</v>
      </c>
      <c r="H19" t="str">
        <v>7. Địa điểm &amp; Nơi chốn</v>
      </c>
    </row>
    <row r="20">
      <c r="A20">
        <v>19</v>
      </c>
      <c r="B20">
        <v>3</v>
      </c>
      <c r="C20" t="str">
        <v>我想去西安旅游</v>
      </c>
      <c r="D20" t="str">
        <v>出去</v>
      </c>
      <c r="E20" t="str">
        <v>Động từ</v>
      </c>
      <c r="F20" t="str">
        <v>chūqù</v>
      </c>
      <c r="G20" t="str">
        <f>IFERROR(__xludf.DUMMYFUNCTION("GOOGLETRANSLATE(D20,""zh"",""vi"")"),"đi ra ngoài")</f>
        <v>đi ra ngoài</v>
      </c>
      <c r="H20" t="str">
        <v>7. Địa điểm &amp; Nơi chốn</v>
      </c>
    </row>
    <row r="21">
      <c r="A21">
        <v>20</v>
      </c>
      <c r="B21">
        <v>6</v>
      </c>
      <c r="C21" t="str">
        <v xml:space="preserve"> 小雪，生日快乐！</v>
      </c>
      <c r="D21" t="str">
        <v>床</v>
      </c>
      <c r="E21" t="str">
        <v>Danh từ</v>
      </c>
      <c r="F21" t="str">
        <v>chuáng</v>
      </c>
      <c r="G21" t="str">
        <f>IFERROR(__xludf.DUMMYFUNCTION("GOOGLETRANSLATE(D21,""zh"",""vi"")"),"giường")</f>
        <v>giường</v>
      </c>
      <c r="H21" t="str">
        <v>6. Đồ vật &amp; Công cụ</v>
      </c>
    </row>
    <row r="22">
      <c r="A22">
        <v>21</v>
      </c>
      <c r="B22">
        <v>10</v>
      </c>
      <c r="C22" t="str">
        <v xml:space="preserve"> 就要考试了</v>
      </c>
      <c r="D22" t="str">
        <v>词</v>
      </c>
      <c r="E22" t="str">
        <v>Danh từ</v>
      </c>
      <c r="F22" t="str">
        <v>cí</v>
      </c>
      <c r="G22" t="str">
        <f>IFERROR(__xludf.DUMMYFUNCTION("GOOGLETRANSLATE(D22,""zh"",""vi"")"),"từ")</f>
        <v>từ</v>
      </c>
      <c r="H22" t="str">
        <v>15. Công cụ ngữ pháp &amp; Cấu trúc</v>
      </c>
    </row>
    <row r="23">
      <c r="A23">
        <v>22</v>
      </c>
      <c r="B23">
        <v>1</v>
      </c>
      <c r="C23" t="str">
        <v>她请我们吃北京烤鸭</v>
      </c>
      <c r="D23" t="str">
        <v>次</v>
      </c>
      <c r="E23" t="str">
        <v>Lượng từ</v>
      </c>
      <c r="F23" t="str">
        <v>cì</v>
      </c>
      <c r="G23" t="str">
        <v>lần, lượt</v>
      </c>
      <c r="H23" t="str">
        <v>14. Số lượng &amp; Đo lường</v>
      </c>
    </row>
    <row r="24">
      <c r="A24">
        <v>23</v>
      </c>
      <c r="B24">
        <v>7</v>
      </c>
      <c r="C24" t="str">
        <v xml:space="preserve"> 他篮球打得很好</v>
      </c>
      <c r="D24" t="str">
        <v>从</v>
      </c>
      <c r="E24" t="str">
        <v>Giới từ</v>
      </c>
      <c r="F24" t="str">
        <v>cóng</v>
      </c>
      <c r="G24" t="str">
        <f>IFERROR(__xludf.DUMMYFUNCTION("GOOGLETRANSLATE(D24,""zh"",""vi"")"),"từ")</f>
        <v>từ</v>
      </c>
      <c r="H24" t="str">
        <v>15. Công cụ ngữ pháp &amp; Cấu trúc</v>
      </c>
    </row>
    <row r="25">
      <c r="A25">
        <v>24</v>
      </c>
      <c r="B25">
        <v>12</v>
      </c>
      <c r="C25" t="str">
        <v xml:space="preserve">  这里比北京冷多了</v>
      </c>
      <c r="D25" t="str">
        <v>从小</v>
      </c>
      <c r="E25" t="str">
        <v>Phó từ</v>
      </c>
      <c r="F25" t="str">
        <v>cóngxiǎo</v>
      </c>
      <c r="G25" t="str">
        <f>IFERROR(__xludf.DUMMYFUNCTION("GOOGLETRANSLATE(D25,""zh"",""vi"")"),"Từ thời thơ ấu")</f>
        <v>Từ thời thơ ấu</v>
      </c>
      <c r="H25" t="str">
        <v>10. Thời gian</v>
      </c>
    </row>
    <row r="26">
      <c r="A26">
        <v>25</v>
      </c>
      <c r="B26">
        <v>10</v>
      </c>
      <c r="C26" t="str">
        <v xml:space="preserve"> 就要考试了</v>
      </c>
      <c r="D26" t="str">
        <v>错</v>
      </c>
      <c r="E26" t="str">
        <v>Tính từ</v>
      </c>
      <c r="F26" t="str">
        <v>cuò</v>
      </c>
      <c r="G26" t="str">
        <f>IFERROR(__xludf.DUMMYFUNCTION("GOOGLETRANSLATE(D26,""zh"",""vi"")"),"sai")</f>
        <v>sai</v>
      </c>
      <c r="H26" t="str">
        <v>13. Miêu tả &amp; Đánh giá</v>
      </c>
    </row>
    <row r="27">
      <c r="A27">
        <v>26</v>
      </c>
      <c r="B27">
        <v>7</v>
      </c>
      <c r="C27" t="str">
        <v xml:space="preserve"> 他篮球打得很好</v>
      </c>
      <c r="D27" t="str">
        <v>打</v>
      </c>
      <c r="E27" t="str">
        <v>Động từ</v>
      </c>
      <c r="F27" t="str">
        <v>dǎ</v>
      </c>
      <c r="G27" t="str">
        <v>chơi (môn thể thao), đánh</v>
      </c>
      <c r="H27" t="str">
        <v>5. Đời sống sinh hoạt</v>
      </c>
    </row>
    <row r="28">
      <c r="A28">
        <v>27</v>
      </c>
      <c r="B28">
        <v>2</v>
      </c>
      <c r="C28" t="str">
        <v xml:space="preserve"> 还是打车去北大吧</v>
      </c>
      <c r="D28" t="str">
        <v>打车</v>
      </c>
      <c r="E28" t="str">
        <v>Động từ</v>
      </c>
      <c r="F28" t="str">
        <v>dǎchē</v>
      </c>
      <c r="G28" t="str">
        <v>bắt xe taxi</v>
      </c>
      <c r="H28" t="str">
        <v>8. Giao thông &amp; Di chuyển</v>
      </c>
    </row>
    <row r="29">
      <c r="A29">
        <v>28</v>
      </c>
      <c r="B29">
        <v>6</v>
      </c>
      <c r="C29" t="str">
        <v xml:space="preserve"> 小雪，生日快乐！</v>
      </c>
      <c r="D29" t="str">
        <v>打开</v>
      </c>
      <c r="E29" t="str">
        <v>Động từ</v>
      </c>
      <c r="F29" t="str">
        <v>dǎkāi</v>
      </c>
      <c r="G29" t="str">
        <f>IFERROR(__xludf.DUMMYFUNCTION("GOOGLETRANSLATE(D29,""zh"",""vi"")"),"Mở")</f>
        <v>Mở</v>
      </c>
      <c r="H29" t="str">
        <v>5. Đời sống sinh hoạt</v>
      </c>
    </row>
    <row r="30">
      <c r="A30">
        <v>29</v>
      </c>
      <c r="B30">
        <v>2</v>
      </c>
      <c r="C30" t="str">
        <v xml:space="preserve"> 还是打车去北大吧</v>
      </c>
      <c r="D30" t="str">
        <v>但</v>
      </c>
      <c r="E30" t="str">
        <v>Liên từ</v>
      </c>
      <c r="F30" t="str">
        <v>dàn</v>
      </c>
      <c r="G30" t="str">
        <f>IFERROR(__xludf.DUMMYFUNCTION("GOOGLETRANSLATE(D30,""zh"",""vi"")"),"Nhưng")</f>
        <v>Nhưng</v>
      </c>
      <c r="H30" t="str">
        <v>15. Công cụ ngữ pháp &amp; Cấu trúc</v>
      </c>
    </row>
    <row r="31">
      <c r="A31">
        <v>30</v>
      </c>
      <c r="B31">
        <v>8</v>
      </c>
      <c r="C31" t="str">
        <v xml:space="preserve"> 虽然你忘了， 但是我记得</v>
      </c>
      <c r="D31" t="str">
        <v>但是</v>
      </c>
      <c r="E31" t="str">
        <v>Liên từ</v>
      </c>
      <c r="F31" t="str">
        <v>dànshì</v>
      </c>
      <c r="G31" t="str">
        <f>IFERROR(__xludf.DUMMYFUNCTION("GOOGLETRANSLATE(D31,""zh"",""vi"")"),"Nhưng")</f>
        <v>Nhưng</v>
      </c>
      <c r="H31" t="str">
        <v>15. Công cụ ngữ pháp &amp; Cấu trúc</v>
      </c>
    </row>
    <row r="32">
      <c r="A32">
        <v>31</v>
      </c>
      <c r="B32">
        <v>6</v>
      </c>
      <c r="C32" t="str">
        <v xml:space="preserve"> 小雪，生日快乐！</v>
      </c>
      <c r="D32" t="str">
        <v>蛋糕</v>
      </c>
      <c r="E32" t="str">
        <v>Danh từ</v>
      </c>
      <c r="F32" t="str">
        <v>dàngāo</v>
      </c>
      <c r="G32" t="str">
        <v>bánh gato</v>
      </c>
      <c r="H32" t="str">
        <v>5. Đời sống sinh hoạt</v>
      </c>
    </row>
    <row r="33">
      <c r="A33">
        <v>32</v>
      </c>
      <c r="B33">
        <v>6</v>
      </c>
      <c r="C33" t="str">
        <v xml:space="preserve"> 小雪，生日快乐！</v>
      </c>
      <c r="D33" t="str">
        <v>地</v>
      </c>
      <c r="F33" t="str">
        <v>de</v>
      </c>
      <c r="G33" t="str">
        <v>Dùng trong cụm trạng ngữ</v>
      </c>
      <c r="H33" t="str">
        <v>15. Công cụ ngữ pháp &amp; Cấu trúc</v>
      </c>
    </row>
    <row r="34">
      <c r="A34">
        <v>33</v>
      </c>
      <c r="B34">
        <v>7</v>
      </c>
      <c r="C34" t="str">
        <v xml:space="preserve"> 他篮球打得很好</v>
      </c>
      <c r="D34" t="str">
        <v>得</v>
      </c>
      <c r="F34" t="str">
        <v>de</v>
      </c>
      <c r="G34" t="str">
        <v>Trợ từ (dùng giữa động từ/tính từ và bổ ngữ để chỉ kết quả hoặc mức độ)</v>
      </c>
      <c r="H34" t="str">
        <v>15. Công cụ ngữ pháp &amp; Cấu trúc</v>
      </c>
    </row>
    <row r="35">
      <c r="A35">
        <v>34</v>
      </c>
      <c r="B35">
        <v>5</v>
      </c>
      <c r="C35" t="str">
        <v>第一次去中国朋友家</v>
      </c>
      <c r="D35" t="str">
        <v>等</v>
      </c>
      <c r="E35" t="str">
        <v>Động từ</v>
      </c>
      <c r="F35" t="str">
        <v>děng</v>
      </c>
      <c r="G35" t="str">
        <f>IFERROR(__xludf.DUMMYFUNCTION("GOOGLETRANSLATE(D35,""zh"",""vi"")"),"Chờ đợi")</f>
        <v>Chờ đợi</v>
      </c>
      <c r="H35" t="str">
        <v>5. Đời sống sinh hoạt</v>
      </c>
    </row>
    <row r="36">
      <c r="A36">
        <v>35</v>
      </c>
      <c r="B36">
        <v>12</v>
      </c>
      <c r="C36" t="str">
        <v xml:space="preserve">  这里比北京冷多了</v>
      </c>
      <c r="D36" t="str">
        <v>地铁</v>
      </c>
      <c r="E36" t="str">
        <v>Danh từ</v>
      </c>
      <c r="F36" t="str">
        <v>dìtiě</v>
      </c>
      <c r="G36" t="str">
        <f>IFERROR(__xludf.DUMMYFUNCTION("GOOGLETRANSLATE(D36,""zh"",""vi"")"),"tàu điện ngầm")</f>
        <v>tàu điện ngầm</v>
      </c>
      <c r="H36" t="str">
        <v>8. Giao thông &amp; Di chuyển</v>
      </c>
    </row>
    <row r="37">
      <c r="A37">
        <v>36</v>
      </c>
      <c r="B37">
        <v>8</v>
      </c>
      <c r="C37" t="str">
        <v xml:space="preserve"> 虽然你忘了， 但是我记得</v>
      </c>
      <c r="D37" t="str">
        <v>点</v>
      </c>
      <c r="E37" t="str">
        <v>Động từ</v>
      </c>
      <c r="F37" t="str">
        <v>diǎn</v>
      </c>
      <c r="G37" t="str">
        <v>gọi (đồ ăn)</v>
      </c>
      <c r="H37" t="str">
        <v>5. Đời sống sinh hoạt</v>
      </c>
    </row>
    <row r="38">
      <c r="A38">
        <v>37</v>
      </c>
      <c r="B38">
        <v>1</v>
      </c>
      <c r="C38" t="str">
        <v>她请我们吃北京烤鸭</v>
      </c>
      <c r="D38" t="str">
        <v>懂</v>
      </c>
      <c r="E38" t="str">
        <v>Động từ</v>
      </c>
      <c r="F38" t="str">
        <v>dǒng</v>
      </c>
      <c r="G38" t="str">
        <f>IFERROR(__xludf.DUMMYFUNCTION("GOOGLETRANSLATE(D38,""zh"",""vi"")"),"Hiểu")</f>
        <v>Hiểu</v>
      </c>
      <c r="H38" t="str">
        <v>4. Tư duy &amp; Nhận thức</v>
      </c>
    </row>
    <row r="39">
      <c r="A39">
        <v>38</v>
      </c>
      <c r="B39">
        <v>11</v>
      </c>
      <c r="C39" t="str">
        <v>我最喜欢吃中国菜</v>
      </c>
      <c r="D39" t="str">
        <v>动</v>
      </c>
      <c r="E39" t="str">
        <v>Động từ</v>
      </c>
      <c r="F39" t="str">
        <v>dòng</v>
      </c>
      <c r="G39" t="str">
        <f>IFERROR(__xludf.DUMMYFUNCTION("GOOGLETRANSLATE(D39,""zh"",""vi"")"),"di chuyển")</f>
        <v>di chuyển</v>
      </c>
      <c r="H39" t="str">
        <v>8. Giao thông &amp; Di chuyển</v>
      </c>
    </row>
    <row r="40">
      <c r="A40">
        <v>39</v>
      </c>
      <c r="B40">
        <v>8</v>
      </c>
      <c r="C40" t="str">
        <v xml:space="preserve"> 虽然你忘了， 但是我记得</v>
      </c>
      <c r="D40" t="str">
        <v>饭馆</v>
      </c>
      <c r="E40" t="str">
        <v>Danh từ</v>
      </c>
      <c r="F40" t="str">
        <v>fànguǎn</v>
      </c>
      <c r="G40" t="str">
        <f>IFERROR(__xludf.DUMMYFUNCTION("GOOGLETRANSLATE(D40,""zh"",""vi"")"),"nhà hàng")</f>
        <v>nhà hàng</v>
      </c>
      <c r="H40" t="str">
        <v>7. Địa điểm &amp; Nơi chốn</v>
      </c>
    </row>
    <row r="41">
      <c r="A41">
        <v>40</v>
      </c>
      <c r="B41">
        <v>14</v>
      </c>
      <c r="C41" t="str">
        <v xml:space="preserve">  一个人过年多没意思啊</v>
      </c>
      <c r="D41" t="str">
        <v>房子</v>
      </c>
      <c r="E41" t="str">
        <v>Danh từ</v>
      </c>
      <c r="F41" t="str">
        <v>fángzi</v>
      </c>
      <c r="G41" t="str">
        <f>IFERROR(__xludf.DUMMYFUNCTION("GOOGLETRANSLATE(D41,""zh"",""vi"")"),"căn nhà")</f>
        <v>căn nhà</v>
      </c>
      <c r="H41" t="str">
        <v>7. Địa điểm &amp; Nơi chốn</v>
      </c>
    </row>
    <row r="42">
      <c r="A42">
        <v>41</v>
      </c>
      <c r="B42">
        <v>15</v>
      </c>
      <c r="C42" t="str">
        <v>我想去一次中国</v>
      </c>
      <c r="D42" t="str">
        <v>飞</v>
      </c>
      <c r="E42" t="str">
        <v>Động từ</v>
      </c>
      <c r="F42" t="str">
        <v>fēi</v>
      </c>
      <c r="G42" t="str">
        <f>IFERROR(__xludf.DUMMYFUNCTION("GOOGLETRANSLATE(D42,""zh"",""vi"")"),"bay")</f>
        <v>bay</v>
      </c>
      <c r="H42" t="str">
        <v>8. Giao thông &amp; Di chuyển</v>
      </c>
    </row>
    <row r="43">
      <c r="A43">
        <v>42</v>
      </c>
      <c r="B43">
        <v>9</v>
      </c>
      <c r="C43" t="str">
        <v>我去买杯奶茶</v>
      </c>
      <c r="D43" t="str">
        <v>高</v>
      </c>
      <c r="E43" t="str">
        <v>Tính từ</v>
      </c>
      <c r="F43" t="str">
        <v>gāo</v>
      </c>
      <c r="G43" t="str">
        <f>IFERROR(__xludf.DUMMYFUNCTION("GOOGLETRANSLATE(D43,""zh"",""vi"")"),"cao")</f>
        <v>cao</v>
      </c>
      <c r="H43" t="str">
        <v>14. Số lượng &amp; Đo lường</v>
      </c>
    </row>
    <row r="44">
      <c r="A44">
        <v>43</v>
      </c>
      <c r="B44">
        <v>15</v>
      </c>
      <c r="C44" t="str">
        <v>我想去一次中国</v>
      </c>
      <c r="D44" t="str">
        <v>高中</v>
      </c>
      <c r="E44" t="str">
        <v>Danh từ</v>
      </c>
      <c r="F44" t="str">
        <v>gāozhōng</v>
      </c>
      <c r="G44" t="str">
        <v>trường trung học phổ thông</v>
      </c>
      <c r="H44" t="str">
        <v>7. Địa điểm &amp; Nơi chốn</v>
      </c>
    </row>
    <row r="45">
      <c r="A45">
        <v>44</v>
      </c>
      <c r="B45">
        <v>13</v>
      </c>
      <c r="C45" t="str">
        <v>我们爱上中文课</v>
      </c>
      <c r="D45" t="str">
        <v>告诉</v>
      </c>
      <c r="E45" t="str">
        <v>Động từ</v>
      </c>
      <c r="F45" t="str">
        <v>gàosu</v>
      </c>
      <c r="G45" t="str">
        <f>IFERROR(__xludf.DUMMYFUNCTION("GOOGLETRANSLATE(D45,""zh"",""vi"")"),"Kể")</f>
        <v>Kể</v>
      </c>
      <c r="H45" t="str">
        <v>4. Tư duy &amp; Nhận thức</v>
      </c>
    </row>
    <row r="46">
      <c r="A46">
        <v>45</v>
      </c>
      <c r="B46">
        <v>9</v>
      </c>
      <c r="C46" t="str">
        <v>我去买杯奶茶</v>
      </c>
      <c r="D46" t="str">
        <v>个子</v>
      </c>
      <c r="E46" t="str">
        <v>Danh từ</v>
      </c>
      <c r="F46" t="str">
        <v>gèzi</v>
      </c>
      <c r="G46" t="str">
        <f>IFERROR(__xludf.DUMMYFUNCTION("GOOGLETRANSLATE(D46,""zh"",""vi"")"),"Chiều cao")</f>
        <v>Chiều cao</v>
      </c>
      <c r="H46" t="str">
        <v>9. Không gian &amp; Vị trí</v>
      </c>
    </row>
    <row r="47">
      <c r="A47">
        <v>46</v>
      </c>
      <c r="B47">
        <v>1</v>
      </c>
      <c r="C47" t="str">
        <v>她请我们吃北京烤鸭</v>
      </c>
      <c r="D47" t="str">
        <v>给</v>
      </c>
      <c r="E47" t="str">
        <v>Giới từ</v>
      </c>
      <c r="F47" t="str">
        <v>gěi</v>
      </c>
      <c r="G47" t="str">
        <v>cho, đưa cho</v>
      </c>
      <c r="H47" t="str">
        <v>15. Công cụ ngữ pháp &amp; Cấu trúc</v>
      </c>
    </row>
    <row r="48" xml:space="preserve">
      <c r="A48">
        <v>47</v>
      </c>
      <c r="B48">
        <v>5</v>
      </c>
      <c r="C48" t="str">
        <v>第一次去中国朋友家</v>
      </c>
      <c r="D48" t="str">
        <v>跟</v>
      </c>
      <c r="E48" t="str">
        <v>Giới từ, Liên từ</v>
      </c>
      <c r="F48" t="str">
        <v>gēn</v>
      </c>
      <c r="G48" t="str" xml:space="preserve">
        <v xml:space="preserve">cùng với_x000d_
và</v>
      </c>
      <c r="H48" t="str">
        <v>15. Công cụ ngữ pháp &amp; Cấu trúc</v>
      </c>
    </row>
    <row r="49">
      <c r="A49">
        <v>48</v>
      </c>
      <c r="B49">
        <v>4</v>
      </c>
      <c r="C49" t="str">
        <v xml:space="preserve">  你穿红色的很好看</v>
      </c>
      <c r="D49" t="str">
        <v>更</v>
      </c>
      <c r="E49" t="str">
        <v>Phó từ</v>
      </c>
      <c r="F49" t="str">
        <v>gèng</v>
      </c>
      <c r="G49" t="str">
        <f>IFERROR(__xludf.DUMMYFUNCTION("GOOGLETRANSLATE(D49,""zh"",""vi"")"),"Thậm chí")</f>
        <v>Thậm chí</v>
      </c>
      <c r="H49" t="str">
        <v>15. Công cụ ngữ pháp &amp; Cấu trúc</v>
      </c>
    </row>
    <row r="50">
      <c r="A50">
        <v>49</v>
      </c>
      <c r="B50">
        <v>2</v>
      </c>
      <c r="C50" t="str">
        <v xml:space="preserve"> 还是打车去北大吧</v>
      </c>
      <c r="D50" t="str">
        <v>公交车</v>
      </c>
      <c r="E50" t="str">
        <v>Danh từ</v>
      </c>
      <c r="F50" t="str">
        <v>gōngjiāochē</v>
      </c>
      <c r="G50" t="str">
        <f>IFERROR(__xludf.DUMMYFUNCTION("GOOGLETRANSLATE(D50,""zh"",""vi"")"),"xe buýt")</f>
        <v>xe buýt</v>
      </c>
      <c r="H50" t="str">
        <v>8. Giao thông &amp; Di chuyển</v>
      </c>
    </row>
    <row r="51">
      <c r="A51">
        <v>50</v>
      </c>
      <c r="B51">
        <v>6</v>
      </c>
      <c r="C51" t="str">
        <v xml:space="preserve"> 小雪，生日快乐！</v>
      </c>
      <c r="D51" t="str">
        <v>过</v>
      </c>
      <c r="E51" t="str">
        <v>Động từ</v>
      </c>
      <c r="F51" t="str">
        <v>guò</v>
      </c>
      <c r="G51" t="str">
        <f>IFERROR(__xludf.DUMMYFUNCTION("GOOGLETRANSLATE(D51,""zh"",""vi"")"),"Vượt qua")</f>
        <v>Vượt qua</v>
      </c>
      <c r="H51" t="str">
        <v>8. Giao thông &amp; Di chuyển</v>
      </c>
    </row>
    <row r="52">
      <c r="A52">
        <v>51</v>
      </c>
      <c r="B52">
        <v>2</v>
      </c>
      <c r="C52" t="str">
        <v xml:space="preserve"> 还是打车去北大吧</v>
      </c>
      <c r="D52" t="str">
        <v>过来</v>
      </c>
      <c r="E52" t="str">
        <v>Động từ</v>
      </c>
      <c r="F52" t="str">
        <v>guòlái</v>
      </c>
      <c r="G52" t="str">
        <f>IFERROR(__xludf.DUMMYFUNCTION("GOOGLETRANSLATE(D52,""zh"",""vi"")"),"đến đây")</f>
        <v>đến đây</v>
      </c>
      <c r="H52" t="str">
        <v>8. Giao thông &amp; Di chuyển</v>
      </c>
    </row>
    <row r="53">
      <c r="A53">
        <v>52</v>
      </c>
      <c r="B53">
        <v>14</v>
      </c>
      <c r="C53" t="str">
        <v xml:space="preserve">  一个人过年多没意思啊</v>
      </c>
      <c r="D53" t="str">
        <v>过年</v>
      </c>
      <c r="E53" t="str">
        <v>Động từ</v>
      </c>
      <c r="F53" t="str">
        <v>guònián</v>
      </c>
      <c r="G53" t="str">
        <v>đón năm mới</v>
      </c>
      <c r="H53" t="str">
        <v>10. Thời gian</v>
      </c>
    </row>
    <row r="54">
      <c r="A54">
        <v>53</v>
      </c>
      <c r="B54">
        <v>4</v>
      </c>
      <c r="C54" t="str">
        <v xml:space="preserve">  你穿红色的很好看</v>
      </c>
      <c r="D54" t="str">
        <v>过去</v>
      </c>
      <c r="E54" t="str">
        <v>Động từ</v>
      </c>
      <c r="F54" t="str">
        <v>guòqù</v>
      </c>
      <c r="G54" t="str">
        <v>qua đó</v>
      </c>
      <c r="H54" t="str">
        <v>8. Giao thông &amp; Di chuyển</v>
      </c>
    </row>
    <row r="55">
      <c r="A55">
        <v>54</v>
      </c>
      <c r="B55">
        <v>4</v>
      </c>
      <c r="C55" t="str">
        <v xml:space="preserve">  你穿红色的很好看</v>
      </c>
      <c r="D55" t="str">
        <v>过</v>
      </c>
      <c r="F55" t="str">
        <v>guo</v>
      </c>
      <c r="G55" t="str">
        <f>IFERROR(__xludf.DUMMYFUNCTION("GOOGLETRANSLATE(D55,""zh"",""vi"")"),"Vượt qua")</f>
        <v>Vượt qua</v>
      </c>
      <c r="H55" t="str">
        <v>8. Giao thông &amp; Di chuyển</v>
      </c>
    </row>
    <row r="56">
      <c r="A56">
        <v>55</v>
      </c>
      <c r="B56" t="str">
        <v>2, 10</v>
      </c>
      <c r="C56" t="str">
        <v xml:space="preserve"> 就要考试了</v>
      </c>
      <c r="D56" t="str">
        <v>还是</v>
      </c>
      <c r="E56" t="str">
        <v>Liên từ</v>
      </c>
      <c r="F56" t="str">
        <v>háishi</v>
      </c>
      <c r="G56" t="str">
        <v>hay/ hoặc</v>
      </c>
      <c r="H56" t="str">
        <v>15. Công cụ ngữ pháp &amp; Cấu trúc</v>
      </c>
    </row>
    <row r="57">
      <c r="A57">
        <v>56</v>
      </c>
      <c r="B57">
        <v>12</v>
      </c>
      <c r="C57" t="str">
        <v xml:space="preserve">  这里比北京冷多了</v>
      </c>
      <c r="D57" t="str">
        <v>好</v>
      </c>
      <c r="E57" t="str">
        <v>Phó từ</v>
      </c>
      <c r="F57" t="str">
        <v>hǎo</v>
      </c>
      <c r="G57" t="str">
        <v>rất, khá</v>
      </c>
      <c r="H57" t="str">
        <v>15. Công cụ ngữ pháp &amp; Cấu trúc</v>
      </c>
    </row>
    <row r="58">
      <c r="A58">
        <v>57</v>
      </c>
      <c r="B58">
        <v>15</v>
      </c>
      <c r="C58" t="str">
        <v>我想去一次中国</v>
      </c>
      <c r="D58" t="str">
        <v>好像</v>
      </c>
      <c r="E58" t="str">
        <v>Động từ</v>
      </c>
      <c r="F58" t="str">
        <v>hǎoxiàng</v>
      </c>
      <c r="G58" t="str">
        <f>IFERROR(__xludf.DUMMYFUNCTION("GOOGLETRANSLATE(D58,""zh"",""vi"")"),"giống")</f>
        <v>giống</v>
      </c>
      <c r="H58" t="str">
        <v>13. Miêu tả &amp; Đánh giá</v>
      </c>
    </row>
    <row r="59">
      <c r="A59">
        <v>58</v>
      </c>
      <c r="B59">
        <v>4</v>
      </c>
      <c r="C59" t="str">
        <v xml:space="preserve">  你穿红色的很好看</v>
      </c>
      <c r="D59" t="str">
        <v>黑色</v>
      </c>
      <c r="E59" t="str">
        <v>Danh từ</v>
      </c>
      <c r="F59" t="str">
        <v>hēisè</v>
      </c>
      <c r="G59" t="str">
        <f>IFERROR(__xludf.DUMMYFUNCTION("GOOGLETRANSLATE(D59,""zh"",""vi"")"),"đen")</f>
        <v>đen</v>
      </c>
      <c r="H59" t="str">
        <v>13. Miêu tả &amp; Đánh giá</v>
      </c>
    </row>
    <row r="60">
      <c r="A60">
        <v>59</v>
      </c>
      <c r="B60">
        <v>4</v>
      </c>
      <c r="C60" t="str">
        <v xml:space="preserve">  你穿红色的很好看</v>
      </c>
      <c r="D60" t="str">
        <v>红色</v>
      </c>
      <c r="E60" t="str">
        <v>Danh từ</v>
      </c>
      <c r="F60" t="str">
        <v>hóngsè</v>
      </c>
      <c r="G60" t="str">
        <f>IFERROR(__xludf.DUMMYFUNCTION("GOOGLETRANSLATE(D60,""zh"",""vi"")"),"màu đỏ")</f>
        <v>màu đỏ</v>
      </c>
      <c r="H60" t="str">
        <v>13. Miêu tả &amp; Đánh giá</v>
      </c>
    </row>
    <row r="61">
      <c r="A61">
        <v>60</v>
      </c>
      <c r="B61">
        <v>10</v>
      </c>
      <c r="C61" t="str">
        <v xml:space="preserve"> 就要考试了</v>
      </c>
      <c r="D61" t="str">
        <v>后面</v>
      </c>
      <c r="E61" t="str">
        <v>Danh từ</v>
      </c>
      <c r="F61" t="str">
        <v>hòumiàn</v>
      </c>
      <c r="G61" t="str">
        <v>phía sau</v>
      </c>
      <c r="H61" t="str">
        <v>9. Không gian &amp; Vị trí</v>
      </c>
    </row>
    <row r="62">
      <c r="A62">
        <v>61</v>
      </c>
      <c r="B62">
        <v>8</v>
      </c>
      <c r="D62" t="str">
        <v>花</v>
      </c>
      <c r="E62" t="str">
        <v>Danh từ</v>
      </c>
      <c r="F62" t="str">
        <v>huā</v>
      </c>
      <c r="G62" t="str">
        <v>hoa</v>
      </c>
      <c r="H62" t="str">
        <v>6. Đồ vật &amp; Công cụ</v>
      </c>
    </row>
    <row r="63">
      <c r="A63">
        <v>62</v>
      </c>
      <c r="B63">
        <v>6</v>
      </c>
      <c r="C63" t="str">
        <v xml:space="preserve"> 小雪，生日快乐！</v>
      </c>
      <c r="D63" t="str">
        <v>画</v>
      </c>
      <c r="E63" t="str">
        <v>Động từ, Danh từ</v>
      </c>
      <c r="F63" t="str">
        <v>huà</v>
      </c>
      <c r="G63" t="str">
        <v>bức vẽ, vẽ (động từ)</v>
      </c>
      <c r="H63" t="str">
        <v>5. Đời sống sinh hoạt</v>
      </c>
    </row>
    <row r="64">
      <c r="A64">
        <v>63</v>
      </c>
      <c r="B64">
        <v>6</v>
      </c>
      <c r="C64" t="str">
        <v xml:space="preserve"> 小雪，生日快乐！</v>
      </c>
      <c r="D64" t="str">
        <v>画笔</v>
      </c>
      <c r="E64" t="str">
        <v>Danh từ</v>
      </c>
      <c r="F64" t="str">
        <v>huàbǐ</v>
      </c>
      <c r="G64" t="str">
        <v>bút màu, cọ vẽ</v>
      </c>
      <c r="H64" t="str">
        <v>6. Đồ vật &amp; Công cụ</v>
      </c>
    </row>
    <row r="65">
      <c r="A65">
        <v>64</v>
      </c>
      <c r="B65">
        <v>9</v>
      </c>
      <c r="C65" t="str">
        <v>我去买杯奶茶</v>
      </c>
      <c r="D65" t="str">
        <v>坏</v>
      </c>
      <c r="E65" t="str">
        <v>Tính từ</v>
      </c>
      <c r="F65" t="str">
        <v>huài</v>
      </c>
      <c r="G65" t="str">
        <f>IFERROR(__xludf.DUMMYFUNCTION("GOOGLETRANSLATE(D65,""zh"",""vi"")"),"xấu")</f>
        <v>xấu</v>
      </c>
      <c r="H65" t="str">
        <v>13. Miêu tả &amp; Đánh giá</v>
      </c>
    </row>
    <row r="66">
      <c r="A66">
        <v>65</v>
      </c>
      <c r="B66">
        <v>3</v>
      </c>
      <c r="C66" t="str">
        <v>我想去西安旅游</v>
      </c>
      <c r="D66" t="str">
        <v>回来</v>
      </c>
      <c r="E66" t="str">
        <v>Động từ</v>
      </c>
      <c r="F66" t="str">
        <v>huílái</v>
      </c>
      <c r="G66" t="str">
        <f>IFERROR(__xludf.DUMMYFUNCTION("GOOGLETRANSLATE(D66,""zh"",""vi"")"),"trở lại")</f>
        <v>trở lại</v>
      </c>
      <c r="H66" t="str">
        <v>8. Giao thông &amp; Di chuyển</v>
      </c>
    </row>
    <row r="67">
      <c r="A67">
        <v>66</v>
      </c>
      <c r="B67">
        <v>3</v>
      </c>
      <c r="C67" t="str">
        <v>我想去西安旅游</v>
      </c>
      <c r="D67" t="str">
        <v>回去</v>
      </c>
      <c r="E67" t="str">
        <v>Động từ</v>
      </c>
      <c r="F67" t="str">
        <v>huíqù</v>
      </c>
      <c r="G67" t="str">
        <f>IFERROR(__xludf.DUMMYFUNCTION("GOOGLETRANSLATE(D67,""zh"",""vi"")"),"quay lại")</f>
        <v>quay lại</v>
      </c>
      <c r="H67" t="str">
        <v>8. Giao thông &amp; Di chuyển</v>
      </c>
    </row>
    <row r="68">
      <c r="A68">
        <v>67</v>
      </c>
      <c r="B68">
        <v>15</v>
      </c>
      <c r="C68" t="str">
        <v>我想去一次中国</v>
      </c>
      <c r="D68" t="str">
        <v>机场</v>
      </c>
      <c r="E68" t="str">
        <v>Danh từ</v>
      </c>
      <c r="F68" t="str">
        <v>jīchǎng</v>
      </c>
      <c r="G68" t="str">
        <f>IFERROR(__xludf.DUMMYFUNCTION("GOOGLETRANSLATE(D68,""zh"",""vi"")"),"Sân bay")</f>
        <v>Sân bay</v>
      </c>
      <c r="H68" t="str">
        <v>7. Địa điểm &amp; Nơi chốn</v>
      </c>
    </row>
    <row r="69">
      <c r="A69">
        <v>68</v>
      </c>
      <c r="B69">
        <v>15</v>
      </c>
      <c r="C69" t="str">
        <v>我想去一次中国</v>
      </c>
      <c r="D69" t="str">
        <v>机票</v>
      </c>
      <c r="E69" t="str">
        <v>Danh từ</v>
      </c>
      <c r="F69" t="str">
        <v>jīpiào</v>
      </c>
      <c r="G69" t="str">
        <f>IFERROR(__xludf.DUMMYFUNCTION("GOOGLETRANSLATE(D69,""zh"",""vi"")"),"Vé máy bay")</f>
        <v>Vé máy bay</v>
      </c>
      <c r="H69" t="str">
        <v>6. Đồ vật &amp; Công cụ</v>
      </c>
    </row>
    <row r="70">
      <c r="A70">
        <v>69</v>
      </c>
      <c r="B70">
        <v>8</v>
      </c>
      <c r="C70" t="str">
        <v xml:space="preserve"> 虽然你忘了， 但是我记得</v>
      </c>
      <c r="D70" t="str">
        <v>记得</v>
      </c>
      <c r="E70" t="str">
        <v>Động từ</v>
      </c>
      <c r="F70" t="str">
        <v>jìde</v>
      </c>
      <c r="G70" t="str">
        <f>IFERROR(__xludf.DUMMYFUNCTION("GOOGLETRANSLATE(D70,""zh"",""vi"")"),"Nhớ")</f>
        <v>Nhớ</v>
      </c>
      <c r="H70" t="str">
        <v>4. Tư duy &amp; Nhận thức</v>
      </c>
    </row>
    <row r="71">
      <c r="A71">
        <v>70</v>
      </c>
      <c r="B71">
        <v>2</v>
      </c>
      <c r="C71" t="str">
        <v xml:space="preserve"> 还是打车去北大吧</v>
      </c>
      <c r="D71" t="str">
        <v>间</v>
      </c>
      <c r="E71" t="str">
        <v>Lượng từ</v>
      </c>
      <c r="F71" t="str">
        <v>jiān</v>
      </c>
      <c r="G71" t="str">
        <v>lượng từ dùng cho căn phòng</v>
      </c>
      <c r="H71" t="str">
        <v>14. Số lượng &amp; Đo lường</v>
      </c>
    </row>
    <row r="72">
      <c r="A72">
        <v>71</v>
      </c>
      <c r="B72">
        <v>13</v>
      </c>
      <c r="C72" t="str">
        <v>我们爱上中文课</v>
      </c>
      <c r="D72" t="str">
        <v>教</v>
      </c>
      <c r="E72" t="str">
        <v>Động từ</v>
      </c>
      <c r="F72" t="str">
        <v>jiāo</v>
      </c>
      <c r="G72" t="str">
        <v>dạy</v>
      </c>
      <c r="H72" t="str">
        <v>12. Công việc &amp; Nghề nghiệp</v>
      </c>
    </row>
    <row r="73">
      <c r="A73">
        <v>72</v>
      </c>
      <c r="B73">
        <v>2</v>
      </c>
      <c r="C73" t="str">
        <v xml:space="preserve"> 还是打车去北大吧</v>
      </c>
      <c r="D73" t="str">
        <v>教室</v>
      </c>
      <c r="E73" t="str">
        <v>Danh từ</v>
      </c>
      <c r="F73" t="str">
        <v>jiàoshì</v>
      </c>
      <c r="G73" t="str">
        <f>IFERROR(__xludf.DUMMYFUNCTION("GOOGLETRANSLATE(D73,""zh"",""vi"")"),"lớp học")</f>
        <v>lớp học</v>
      </c>
      <c r="H73" t="str">
        <v>1. Con người &amp; Các mối quan hệ</v>
      </c>
    </row>
    <row r="74">
      <c r="A74">
        <v>73</v>
      </c>
      <c r="B74">
        <v>1</v>
      </c>
      <c r="C74" t="str">
        <v>她请我们吃北京烤鸭</v>
      </c>
      <c r="D74" t="str">
        <v>* 接</v>
      </c>
      <c r="E74" t="str">
        <v>Động từ</v>
      </c>
      <c r="F74" t="str">
        <v>jiē</v>
      </c>
      <c r="G74" t="str">
        <v>đón, nhận</v>
      </c>
      <c r="H74" t="str">
        <v>8. Giao thông &amp; Di chuyển</v>
      </c>
    </row>
    <row r="75">
      <c r="A75">
        <v>74</v>
      </c>
      <c r="B75">
        <v>1</v>
      </c>
      <c r="C75" t="str">
        <v>她请我们吃北京烤鸭</v>
      </c>
      <c r="D75" t="str">
        <v>介绍</v>
      </c>
      <c r="E75" t="str">
        <v>Động từ</v>
      </c>
      <c r="F75" t="str">
        <v>jièshào</v>
      </c>
      <c r="G75" t="str">
        <f>IFERROR(__xludf.DUMMYFUNCTION("GOOGLETRANSLATE(D75,""zh"",""vi"")"),"giới thiệu")</f>
        <v>giới thiệu</v>
      </c>
      <c r="H75" t="str">
        <v>1. Con người &amp; Các mối quan hệ</v>
      </c>
    </row>
    <row r="76">
      <c r="A76">
        <v>75</v>
      </c>
      <c r="B76">
        <v>11</v>
      </c>
      <c r="C76" t="str">
        <v>我最喜欢吃中国菜</v>
      </c>
      <c r="D76" t="str">
        <v>进</v>
      </c>
      <c r="E76" t="str">
        <v>Động từ</v>
      </c>
      <c r="F76" t="str">
        <v>jìn</v>
      </c>
      <c r="G76" t="str">
        <f>IFERROR(__xludf.DUMMYFUNCTION("GOOGLETRANSLATE(D76,""zh"",""vi"")"),"Đi vào")</f>
        <v>Đi vào</v>
      </c>
      <c r="H76" t="str">
        <v>8. Giao thông &amp; Di chuyển</v>
      </c>
    </row>
    <row r="77">
      <c r="A77">
        <v>76</v>
      </c>
      <c r="B77">
        <v>5</v>
      </c>
      <c r="C77" t="str">
        <v>第一次去中国朋友家</v>
      </c>
      <c r="D77" t="str">
        <v>进来</v>
      </c>
      <c r="E77" t="str">
        <v>Động từ</v>
      </c>
      <c r="F77" t="str">
        <v>jìnlái</v>
      </c>
      <c r="G77" t="str">
        <v>vào trong</v>
      </c>
      <c r="H77" t="str">
        <v>8. Giao thông &amp; Di chuyển</v>
      </c>
    </row>
    <row r="78">
      <c r="A78">
        <v>77</v>
      </c>
      <c r="B78">
        <v>4</v>
      </c>
      <c r="C78" t="str">
        <v xml:space="preserve">  你穿红色的很好看</v>
      </c>
      <c r="D78" t="str">
        <v>进去</v>
      </c>
      <c r="E78" t="str">
        <v>Động từ</v>
      </c>
      <c r="F78" t="str">
        <v>jìnqù</v>
      </c>
      <c r="G78" t="str">
        <f>IFERROR(__xludf.DUMMYFUNCTION("GOOGLETRANSLATE(D78,""zh"",""vi"")"),"Đi vào")</f>
        <v>Đi vào</v>
      </c>
      <c r="H78" t="str">
        <v>8. Giao thông &amp; Di chuyển</v>
      </c>
    </row>
    <row r="79">
      <c r="A79">
        <v>78</v>
      </c>
      <c r="B79">
        <v>9</v>
      </c>
      <c r="C79" t="str">
        <v>我去买杯奶茶</v>
      </c>
      <c r="D79" t="str">
        <v>近</v>
      </c>
      <c r="E79" t="str">
        <v>Tính từ</v>
      </c>
      <c r="F79" t="str">
        <v>jìn</v>
      </c>
      <c r="G79" t="str">
        <v>gần</v>
      </c>
      <c r="H79" t="str">
        <v>9. Không gian &amp; Vị trí</v>
      </c>
    </row>
    <row r="80">
      <c r="A80">
        <v>79</v>
      </c>
      <c r="B80">
        <v>11</v>
      </c>
      <c r="C80" t="str">
        <v>我最喜欢吃中国菜</v>
      </c>
      <c r="D80" t="str">
        <v>经常</v>
      </c>
      <c r="E80" t="str">
        <v>Phó từ</v>
      </c>
      <c r="F80" t="str">
        <v>jīngcháng</v>
      </c>
      <c r="G80" t="str">
        <f>IFERROR(__xludf.DUMMYFUNCTION("GOOGLETRANSLATE(D80,""zh"",""vi"")"),"thường")</f>
        <v>thường</v>
      </c>
      <c r="H80" t="str">
        <v>10. Thời gian</v>
      </c>
    </row>
    <row r="81">
      <c r="A81">
        <v>80</v>
      </c>
      <c r="B81">
        <v>5</v>
      </c>
      <c r="C81" t="str">
        <v>第一次去中国朋友家</v>
      </c>
      <c r="D81" t="str">
        <v>酒店</v>
      </c>
      <c r="E81" t="str">
        <v>Danh từ</v>
      </c>
      <c r="F81" t="str">
        <v>jiǔdiàn</v>
      </c>
      <c r="G81" t="str">
        <f>IFERROR(__xludf.DUMMYFUNCTION("GOOGLETRANSLATE(D81,""zh"",""vi"")"),"khách sạn")</f>
        <v>khách sạn</v>
      </c>
      <c r="H81" t="str">
        <v>7. Địa điểm &amp; Nơi chốn</v>
      </c>
    </row>
    <row r="82">
      <c r="A82">
        <v>81</v>
      </c>
      <c r="B82">
        <v>1</v>
      </c>
      <c r="C82" t="str">
        <v>她请我们吃北京烤鸭</v>
      </c>
      <c r="D82" t="str">
        <v>就</v>
      </c>
      <c r="E82" t="str">
        <v>Phó từ</v>
      </c>
      <c r="F82" t="str">
        <v>jiù</v>
      </c>
      <c r="G82" t="str">
        <f>IFERROR(__xludf.DUMMYFUNCTION("GOOGLETRANSLATE(D82,""zh"",""vi"")"),"Ngay lập tức")</f>
        <v>Ngay lập tức</v>
      </c>
      <c r="H82" t="str">
        <v>15. Công cụ ngữ pháp &amp; Cấu trúc</v>
      </c>
    </row>
    <row r="83">
      <c r="A83">
        <v>82</v>
      </c>
      <c r="B83">
        <v>9</v>
      </c>
      <c r="C83" t="str">
        <v>我去买杯奶茶</v>
      </c>
      <c r="D83" t="str">
        <v>咖啡</v>
      </c>
      <c r="E83" t="str">
        <v>Danh từ</v>
      </c>
      <c r="F83" t="str">
        <v>kāfēi</v>
      </c>
      <c r="G83" t="str">
        <f>IFERROR(__xludf.DUMMYFUNCTION("GOOGLETRANSLATE(D83,""zh"",""vi"")"),"cà phê")</f>
        <v>cà phê</v>
      </c>
      <c r="H83" t="str">
        <v>5. Đời sống sinh hoạt</v>
      </c>
    </row>
    <row r="84" xml:space="preserve">
      <c r="A84">
        <v>83</v>
      </c>
      <c r="B84">
        <v>7</v>
      </c>
      <c r="C84" t="str">
        <v xml:space="preserve"> 他篮球打得很好</v>
      </c>
      <c r="D84" t="str">
        <v>开始</v>
      </c>
      <c r="E84" t="str">
        <v>Động từ, Danh từ</v>
      </c>
      <c r="F84" t="str">
        <v>kāishǐ</v>
      </c>
      <c r="G84" t="str" xml:space="preserve">
        <v xml:space="preserve">bắt đầu_x000d_
sự bắt đầu</v>
      </c>
      <c r="H84" t="str">
        <v>10. Thời gian</v>
      </c>
    </row>
    <row r="85">
      <c r="A85">
        <v>84</v>
      </c>
      <c r="B85">
        <v>10</v>
      </c>
      <c r="C85" t="str">
        <v xml:space="preserve"> 就要考试了</v>
      </c>
      <c r="D85" t="str">
        <v>开学</v>
      </c>
      <c r="E85" t="str">
        <v>Động từ</v>
      </c>
      <c r="F85" t="str">
        <v>kāixué</v>
      </c>
      <c r="G85" t="str">
        <v>khai giảng</v>
      </c>
      <c r="H85" t="str">
        <v>10. Thời gian</v>
      </c>
    </row>
    <row r="86">
      <c r="A86">
        <v>85</v>
      </c>
      <c r="B86">
        <v>10</v>
      </c>
      <c r="C86" t="str">
        <v xml:space="preserve"> 就要考试了</v>
      </c>
      <c r="D86" t="str">
        <v>考</v>
      </c>
      <c r="E86" t="str">
        <v>Động từ</v>
      </c>
      <c r="F86" t="str">
        <v>kǎo</v>
      </c>
      <c r="G86" t="str">
        <f>IFERROR(__xludf.DUMMYFUNCTION("GOOGLETRANSLATE(D86,""zh"",""vi"")"),"Bài kiểm tra")</f>
        <v>Bài kiểm tra</v>
      </c>
      <c r="H86" t="str">
        <v>1. Con người &amp; Các mối quan hệ</v>
      </c>
    </row>
    <row r="87" xml:space="preserve">
      <c r="A87">
        <v>86</v>
      </c>
      <c r="B87">
        <v>10</v>
      </c>
      <c r="C87" t="str">
        <v xml:space="preserve"> 就要考试了</v>
      </c>
      <c r="D87" t="str">
        <v>考试</v>
      </c>
      <c r="E87" t="str">
        <v>Danh từ, Động từ</v>
      </c>
      <c r="F87" t="str">
        <v>kǎoshì</v>
      </c>
      <c r="G87" t="str" xml:space="preserve">
        <v xml:space="preserve">Làm bài kiểm tra_x000d_
kiểm tra</v>
      </c>
      <c r="H87" t="str">
        <v>1. Con người &amp; Các mối quan hệ</v>
      </c>
    </row>
    <row r="88">
      <c r="A88">
        <v>87</v>
      </c>
      <c r="B88">
        <v>13</v>
      </c>
      <c r="C88" t="str">
        <v>我们爱上中文课</v>
      </c>
      <c r="D88" t="str">
        <v>可能</v>
      </c>
      <c r="E88" t="str">
        <v>Động từ</v>
      </c>
      <c r="F88" t="str">
        <v>kěnéng</v>
      </c>
      <c r="G88" t="str">
        <v>có lẽ, có thể</v>
      </c>
      <c r="H88" t="str">
        <v>15. Công cụ ngữ pháp &amp; Cấu trúc</v>
      </c>
    </row>
    <row r="89">
      <c r="A89">
        <v>88</v>
      </c>
      <c r="B89">
        <v>4</v>
      </c>
      <c r="C89" t="str">
        <v xml:space="preserve">  你穿红色的很好看</v>
      </c>
      <c r="D89" t="str">
        <v>裤子</v>
      </c>
      <c r="E89" t="str">
        <v>Danh từ</v>
      </c>
      <c r="F89" t="str">
        <v>kùzi</v>
      </c>
      <c r="G89" t="str">
        <f>IFERROR(__xludf.DUMMYFUNCTION("GOOGLETRANSLATE(D89,""zh"",""vi"")"),"Quần dài")</f>
        <v>Quần dài</v>
      </c>
      <c r="H89" t="str">
        <v>5. Đời sống sinh hoạt</v>
      </c>
    </row>
    <row r="90">
      <c r="A90">
        <v>89</v>
      </c>
      <c r="B90">
        <v>5</v>
      </c>
      <c r="C90" t="str">
        <v>第一次去中国朋友家</v>
      </c>
      <c r="D90" t="str">
        <v>快</v>
      </c>
      <c r="E90" t="str">
        <v>Phó từ, Tính từ</v>
      </c>
      <c r="F90" t="str">
        <v>kuài</v>
      </c>
      <c r="G90" t="str">
        <f>IFERROR(__xludf.DUMMYFUNCTION("GOOGLETRANSLATE(D90,""zh"",""vi"")"),"nhanh")</f>
        <v>nhanh</v>
      </c>
      <c r="H90" t="str">
        <v>13. Miêu tả &amp; Đánh giá</v>
      </c>
    </row>
    <row r="91">
      <c r="A91">
        <v>90</v>
      </c>
      <c r="B91">
        <v>6</v>
      </c>
      <c r="C91" t="str">
        <v xml:space="preserve"> 小雪，生日快乐！</v>
      </c>
      <c r="D91" t="str">
        <v>快乐</v>
      </c>
      <c r="E91" t="str">
        <v>Tính từ</v>
      </c>
      <c r="F91" t="str">
        <v>kuàilè</v>
      </c>
      <c r="G91" t="str">
        <f>IFERROR(__xludf.DUMMYFUNCTION("GOOGLETRANSLATE(D91,""zh"",""vi"")"),"hạnh phúc")</f>
        <v>hạnh phúc</v>
      </c>
      <c r="H91" t="str">
        <v>3. Cảm xúc &amp; Thái độ</v>
      </c>
    </row>
    <row r="92">
      <c r="A92">
        <v>91</v>
      </c>
      <c r="B92">
        <v>10</v>
      </c>
      <c r="C92" t="str">
        <v xml:space="preserve"> 就要考试了</v>
      </c>
      <c r="D92" t="str">
        <v>快要</v>
      </c>
      <c r="E92" t="str">
        <v>Phó từ</v>
      </c>
      <c r="F92" t="str">
        <v>kuàiyào</v>
      </c>
      <c r="G92" t="str">
        <v>sắp</v>
      </c>
      <c r="H92" t="str">
        <v>10. Thời gian</v>
      </c>
    </row>
    <row r="93">
      <c r="A93">
        <v>92</v>
      </c>
      <c r="B93">
        <v>7</v>
      </c>
      <c r="C93" t="str">
        <v xml:space="preserve"> 他篮球打得很好</v>
      </c>
      <c r="D93" t="str">
        <v>篮球</v>
      </c>
      <c r="E93" t="str">
        <v>Danh từ</v>
      </c>
      <c r="F93" t="str">
        <v>lánqiú</v>
      </c>
      <c r="G93" t="str">
        <f>IFERROR(__xludf.DUMMYFUNCTION("GOOGLETRANSLATE(D93,""zh"",""vi"")"),"bóng rổ")</f>
        <v>bóng rổ</v>
      </c>
      <c r="H93" t="str">
        <v>6. Đồ vật &amp; Công cụ</v>
      </c>
    </row>
    <row r="94">
      <c r="A94">
        <v>93</v>
      </c>
      <c r="B94">
        <v>3</v>
      </c>
      <c r="C94" t="str">
        <v>我想去西安旅游</v>
      </c>
      <c r="D94" t="str">
        <v>累</v>
      </c>
      <c r="E94" t="str">
        <v>Tính từ</v>
      </c>
      <c r="F94" t="str">
        <v>lèi</v>
      </c>
      <c r="G94" t="str">
        <f>IFERROR(__xludf.DUMMYFUNCTION("GOOGLETRANSLATE(D94,""zh"",""vi"")"),"mệt")</f>
        <v>mệt</v>
      </c>
      <c r="H94" t="str">
        <v>2. Cơ thể &amp; Sức khỏe</v>
      </c>
    </row>
    <row r="95">
      <c r="A95">
        <v>94</v>
      </c>
      <c r="B95">
        <v>9</v>
      </c>
      <c r="C95" t="str">
        <v>我去买杯奶茶</v>
      </c>
      <c r="D95" t="str">
        <v>离</v>
      </c>
      <c r="E95" t="str">
        <v>Động từ</v>
      </c>
      <c r="F95" t="str">
        <v>lí</v>
      </c>
      <c r="G95" t="str">
        <f>IFERROR(__xludf.DUMMYFUNCTION("GOOGLETRANSLATE(D95,""zh"",""vi"")"),"Rời khỏi")</f>
        <v>Rời khỏi</v>
      </c>
      <c r="H95" t="str">
        <v>8. Giao thông &amp; Di chuyển</v>
      </c>
    </row>
    <row r="96">
      <c r="A96">
        <v>95</v>
      </c>
      <c r="B96">
        <v>5</v>
      </c>
      <c r="C96" t="str">
        <v>第一次去中国朋友家</v>
      </c>
      <c r="D96" t="str">
        <v>礼物</v>
      </c>
      <c r="E96" t="str">
        <v>Danh từ</v>
      </c>
      <c r="F96" t="str">
        <v>lǐwù</v>
      </c>
      <c r="G96" t="str">
        <f>IFERROR(__xludf.DUMMYFUNCTION("GOOGLETRANSLATE(D96,""zh"",""vi"")"),"Quà")</f>
        <v>Quà</v>
      </c>
      <c r="H96" t="str">
        <v>6. Đồ vật &amp; Công cụ</v>
      </c>
    </row>
    <row r="97">
      <c r="A97">
        <v>96</v>
      </c>
      <c r="B97">
        <v>13</v>
      </c>
      <c r="C97" t="str">
        <v>我们爱上中文课</v>
      </c>
      <c r="D97" t="str">
        <v>里面</v>
      </c>
      <c r="E97" t="str">
        <v>Danh từ</v>
      </c>
      <c r="F97" t="str">
        <v>lǐmiàn</v>
      </c>
      <c r="G97" t="str">
        <v>trong</v>
      </c>
      <c r="H97" t="str">
        <v>9. Không gian &amp; Vị trí</v>
      </c>
    </row>
    <row r="98">
      <c r="A98">
        <v>97</v>
      </c>
      <c r="B98">
        <v>12</v>
      </c>
      <c r="C98" t="str">
        <v xml:space="preserve">  这里比北京冷多了</v>
      </c>
      <c r="D98" t="str">
        <v>楼</v>
      </c>
      <c r="E98" t="str">
        <v>Danh từ</v>
      </c>
      <c r="F98" t="str">
        <v>lóu</v>
      </c>
      <c r="G98" t="str">
        <v>tòa nhà</v>
      </c>
      <c r="H98" t="str">
        <v>7. Địa điểm &amp; Nơi chốn</v>
      </c>
    </row>
    <row r="99">
      <c r="A99">
        <v>98</v>
      </c>
      <c r="B99">
        <v>15</v>
      </c>
      <c r="C99" t="str">
        <v>我想去一次中国</v>
      </c>
      <c r="D99" t="str">
        <v>路</v>
      </c>
      <c r="E99" t="str">
        <v>Danh từ</v>
      </c>
      <c r="F99" t="str">
        <v>lù</v>
      </c>
      <c r="G99" t="str">
        <f>IFERROR(__xludf.DUMMYFUNCTION("GOOGLETRANSLATE(D99,""zh"",""vi"")"),"đường")</f>
        <v>đường</v>
      </c>
      <c r="H99" t="str">
        <v>7. Địa điểm &amp; Nơi chốn</v>
      </c>
    </row>
    <row r="100">
      <c r="A100">
        <v>99</v>
      </c>
      <c r="B100">
        <v>11</v>
      </c>
      <c r="C100" t="str">
        <v>我最喜欢吃中国菜</v>
      </c>
      <c r="D100" t="str">
        <v>路上</v>
      </c>
      <c r="E100" t="str">
        <v>Danh từ</v>
      </c>
      <c r="F100" t="str">
        <v>lùshang</v>
      </c>
      <c r="G100" t="str">
        <f>IFERROR(__xludf.DUMMYFUNCTION("GOOGLETRANSLATE(D100,""zh"",""vi"")"),"Trên đường")</f>
        <v>Trên đường</v>
      </c>
      <c r="H100" t="str">
        <v>7. Địa điểm &amp; Nơi chốn</v>
      </c>
    </row>
    <row r="101">
      <c r="A101">
        <v>100</v>
      </c>
      <c r="B101">
        <v>1</v>
      </c>
      <c r="C101" t="str">
        <v>她请我们吃北京烤鸭</v>
      </c>
      <c r="D101" t="str">
        <v>旅游</v>
      </c>
      <c r="E101" t="str">
        <v>Động từ</v>
      </c>
      <c r="F101" t="str">
        <v>lǚyóu</v>
      </c>
      <c r="G101" t="str">
        <f>IFERROR(__xludf.DUMMYFUNCTION("GOOGLETRANSLATE(D101,""zh"",""vi"")"),"du lịch")</f>
        <v>du lịch</v>
      </c>
      <c r="H101" t="str">
        <v>5. Đời sống sinh hoạt</v>
      </c>
    </row>
    <row r="102">
      <c r="A102">
        <v>101</v>
      </c>
      <c r="B102">
        <v>4</v>
      </c>
      <c r="C102" t="str">
        <v xml:space="preserve">  你穿红色的很好看</v>
      </c>
      <c r="D102" t="str">
        <v>绿色</v>
      </c>
      <c r="E102" t="str">
        <v>Danh từ</v>
      </c>
      <c r="F102" t="str">
        <v>lǜsè</v>
      </c>
      <c r="G102" t="str">
        <f>IFERROR(__xludf.DUMMYFUNCTION("GOOGLETRANSLATE(D102,""zh"",""vi"")"),"màu xanh lá")</f>
        <v>màu xanh lá</v>
      </c>
      <c r="H102" t="str">
        <v>9. Không gian &amp; Vị trí</v>
      </c>
    </row>
    <row r="103">
      <c r="A103">
        <v>102</v>
      </c>
      <c r="B103">
        <v>11</v>
      </c>
      <c r="C103" t="str">
        <v>我最喜欢吃中国菜</v>
      </c>
      <c r="D103" t="str">
        <v>慢</v>
      </c>
      <c r="E103" t="str">
        <v>Tính từ</v>
      </c>
      <c r="F103" t="str">
        <v>màn</v>
      </c>
      <c r="G103" t="str">
        <f>IFERROR(__xludf.DUMMYFUNCTION("GOOGLETRANSLATE(D103,""zh"",""vi"")"),"chậm")</f>
        <v>chậm</v>
      </c>
      <c r="H103" t="str">
        <v>13. Miêu tả &amp; Đánh giá</v>
      </c>
    </row>
    <row r="104">
      <c r="A104">
        <v>103</v>
      </c>
      <c r="B104">
        <v>14</v>
      </c>
      <c r="C104" t="str">
        <v xml:space="preserve">  一个人过年多没意思啊</v>
      </c>
      <c r="D104" t="str">
        <v>没意思</v>
      </c>
      <c r="F104" t="str">
        <v>méi yìsi</v>
      </c>
      <c r="G104" t="str">
        <v>nhàm chán</v>
      </c>
      <c r="H104" t="str">
        <v>13. Miêu tả &amp; Đánh giá</v>
      </c>
    </row>
    <row r="105">
      <c r="A105">
        <v>104</v>
      </c>
      <c r="B105">
        <v>3</v>
      </c>
      <c r="C105" t="str">
        <v>我想去西安旅游</v>
      </c>
      <c r="D105" t="str">
        <v>每</v>
      </c>
      <c r="E105" t="str">
        <v>Đại từ</v>
      </c>
      <c r="F105" t="str">
        <v>měi</v>
      </c>
      <c r="G105" t="str">
        <v>Mỗi</v>
      </c>
      <c r="H105" t="str">
        <v>15. Công cụ ngữ pháp &amp; Cấu trúc</v>
      </c>
    </row>
    <row r="106">
      <c r="A106">
        <v>105</v>
      </c>
      <c r="B106">
        <v>10</v>
      </c>
      <c r="C106" t="str">
        <v xml:space="preserve"> 就要考试了</v>
      </c>
      <c r="D106" t="str">
        <v>门</v>
      </c>
      <c r="E106" t="str">
        <v>Danh từ</v>
      </c>
      <c r="F106" t="str">
        <v>mén</v>
      </c>
      <c r="G106" t="str">
        <f>IFERROR(__xludf.DUMMYFUNCTION("GOOGLETRANSLATE(D106,""zh"",""vi"")"),"Cửa")</f>
        <v>Cửa</v>
      </c>
      <c r="H106" t="str">
        <v>7. Địa điểm &amp; Nơi chốn</v>
      </c>
    </row>
    <row r="107">
      <c r="A107">
        <v>106</v>
      </c>
      <c r="B107">
        <v>9</v>
      </c>
      <c r="C107" t="str">
        <v>我去买杯奶茶</v>
      </c>
      <c r="D107" t="str">
        <v>门口</v>
      </c>
      <c r="E107" t="str">
        <v>Danh từ</v>
      </c>
      <c r="F107" t="str">
        <v>ménkǒu</v>
      </c>
      <c r="G107" t="str">
        <f>IFERROR(__xludf.DUMMYFUNCTION("GOOGLETRANSLATE(D107,""zh"",""vi"")"),"Lối vào")</f>
        <v>Lối vào</v>
      </c>
      <c r="H107" t="str">
        <v>7. Địa điểm &amp; Nơi chốn</v>
      </c>
    </row>
    <row r="108">
      <c r="A108">
        <v>107</v>
      </c>
      <c r="B108">
        <v>15</v>
      </c>
      <c r="C108" t="str">
        <v>我想去一次中国</v>
      </c>
      <c r="D108" t="str">
        <v>门票</v>
      </c>
      <c r="E108" t="str">
        <v>Danh từ</v>
      </c>
      <c r="F108" t="str">
        <v>ménpiào</v>
      </c>
      <c r="G108" t="str">
        <f>IFERROR(__xludf.DUMMYFUNCTION("GOOGLETRANSLATE(D108,""zh"",""vi"")"),"Vé")</f>
        <v>Vé</v>
      </c>
      <c r="H108" t="str">
        <v>6. Đồ vật &amp; Công cụ</v>
      </c>
    </row>
    <row r="109">
      <c r="A109">
        <v>108</v>
      </c>
      <c r="B109">
        <v>5</v>
      </c>
      <c r="C109" t="str">
        <v>第一次去中国朋友家</v>
      </c>
      <c r="D109" t="str">
        <v>面</v>
      </c>
      <c r="F109" t="str">
        <v>miàn</v>
      </c>
      <c r="G109" t="str">
        <f>IFERROR(__xludf.DUMMYFUNCTION("GOOGLETRANSLATE(D109,""zh"",""vi"")"),"mì")</f>
        <v>mì</v>
      </c>
      <c r="H109" t="str">
        <v>5. Đời sống sinh hoạt</v>
      </c>
    </row>
    <row r="110" xml:space="preserve">
      <c r="A110">
        <v>109</v>
      </c>
      <c r="B110">
        <v>2</v>
      </c>
      <c r="C110" t="str">
        <v xml:space="preserve"> 还是打车去北大吧</v>
      </c>
      <c r="D110" t="str">
        <v>名</v>
      </c>
      <c r="E110" t="str">
        <v>Lượng từ, Danh từ</v>
      </c>
      <c r="F110" t="str">
        <v>míng</v>
      </c>
      <c r="G110" t="str" xml:space="preserve">
        <v xml:space="preserve">lượng từ dùng cho người_x000d_
tên</v>
      </c>
      <c r="H110" t="str">
        <v>14. Số lượng &amp; Đo lường</v>
      </c>
    </row>
    <row r="111">
      <c r="A111">
        <v>110</v>
      </c>
      <c r="B111">
        <v>3</v>
      </c>
      <c r="C111" t="str">
        <v>我想去西安旅游</v>
      </c>
      <c r="D111" t="str">
        <v>拿</v>
      </c>
      <c r="E111" t="str">
        <v>Động từ</v>
      </c>
      <c r="F111" t="str">
        <v>ná</v>
      </c>
      <c r="G111" t="str">
        <f>IFERROR(__xludf.DUMMYFUNCTION("GOOGLETRANSLATE(D111,""zh"",""vi"")"),"lấy")</f>
        <v>lấy</v>
      </c>
      <c r="H111" t="str">
        <v>5. Đời sống sinh hoạt</v>
      </c>
    </row>
    <row r="112">
      <c r="A112">
        <v>111</v>
      </c>
      <c r="B112">
        <v>1</v>
      </c>
      <c r="C112" t="str">
        <v>她请我们吃北京烤鸭</v>
      </c>
      <c r="D112" t="str">
        <v>那</v>
      </c>
      <c r="E112" t="str">
        <v>Liên từ</v>
      </c>
      <c r="F112" t="str">
        <v>nà</v>
      </c>
      <c r="G112" t="str">
        <v>Vậy, vậy thì</v>
      </c>
      <c r="H112" t="str">
        <v>15. Công cụ ngữ pháp &amp; Cấu trúc</v>
      </c>
    </row>
    <row r="113">
      <c r="A113">
        <v>112</v>
      </c>
      <c r="B113">
        <v>9</v>
      </c>
      <c r="C113" t="str">
        <v>我去买杯奶茶</v>
      </c>
      <c r="D113" t="str">
        <v>那么</v>
      </c>
      <c r="E113" t="str">
        <v>Đại từ</v>
      </c>
      <c r="F113" t="str">
        <v>nàme</v>
      </c>
      <c r="G113" t="str">
        <f>IFERROR(__xludf.DUMMYFUNCTION("GOOGLETRANSLATE(D113,""zh"",""vi"")"),"Vì thế")</f>
        <v>Vì thế</v>
      </c>
      <c r="H113" t="str">
        <v>15. Công cụ ngữ pháp &amp; Cấu trúc</v>
      </c>
    </row>
    <row r="114">
      <c r="A114">
        <v>113</v>
      </c>
      <c r="B114">
        <v>13</v>
      </c>
      <c r="C114" t="str">
        <v>我们爱上中文课</v>
      </c>
      <c r="D114" t="str">
        <v>那样</v>
      </c>
      <c r="E114" t="str">
        <v>Đại từ</v>
      </c>
      <c r="F114" t="str">
        <v>nàyàng</v>
      </c>
      <c r="G114" t="str">
        <f>IFERROR(__xludf.DUMMYFUNCTION("GOOGLETRANSLATE(D114,""zh"",""vi"")"),"Cái đó")</f>
        <v>Cái đó</v>
      </c>
      <c r="H114" t="str">
        <v>15. Công cụ ngữ pháp &amp; Cấu trúc</v>
      </c>
    </row>
    <row r="115">
      <c r="A115">
        <v>114</v>
      </c>
      <c r="B115">
        <v>5</v>
      </c>
      <c r="C115" t="str">
        <v>第一次去中国朋友家</v>
      </c>
      <c r="D115" t="str">
        <v>奶茶</v>
      </c>
      <c r="E115" t="str">
        <v>Danh từ</v>
      </c>
      <c r="F115" t="str">
        <v>nǎichá</v>
      </c>
      <c r="G115" t="str">
        <f>IFERROR(__xludf.DUMMYFUNCTION("GOOGLETRANSLATE(D115,""zh"",""vi"")"),"trà sữa")</f>
        <v>trà sữa</v>
      </c>
      <c r="H115" t="str">
        <v>5. Đời sống sinh hoạt</v>
      </c>
    </row>
    <row r="116">
      <c r="A116">
        <v>115</v>
      </c>
      <c r="B116">
        <v>5</v>
      </c>
      <c r="C116" t="str">
        <v>第一次去中国朋友家</v>
      </c>
      <c r="D116" t="str">
        <v>奶奶</v>
      </c>
      <c r="E116" t="str">
        <v>Danh từ</v>
      </c>
      <c r="F116" t="str">
        <v>nǎinai</v>
      </c>
      <c r="G116" t="str">
        <v>bà nội</v>
      </c>
      <c r="H116" t="str">
        <v>1. Con người &amp; Các mối quan hệ</v>
      </c>
    </row>
    <row r="117">
      <c r="A117">
        <v>116</v>
      </c>
      <c r="B117">
        <v>9</v>
      </c>
      <c r="C117" t="str">
        <v>我去买杯奶茶</v>
      </c>
      <c r="D117" t="str">
        <v>男孩儿</v>
      </c>
      <c r="E117" t="str">
        <v>Danh từ</v>
      </c>
      <c r="F117" t="str">
        <v>nánháir</v>
      </c>
      <c r="G117" t="str">
        <f>IFERROR(__xludf.DUMMYFUNCTION("GOOGLETRANSLATE(D117,""zh"",""vi"")"),"con trai")</f>
        <v>con trai</v>
      </c>
      <c r="H117" t="str">
        <v>1. Con người &amp; Các mối quan hệ</v>
      </c>
    </row>
    <row r="118">
      <c r="A118">
        <v>117</v>
      </c>
      <c r="B118">
        <v>15</v>
      </c>
      <c r="C118" t="str">
        <v>我想去一次中国</v>
      </c>
      <c r="D118" t="str">
        <v>鸟</v>
      </c>
      <c r="E118" t="str">
        <v>Danh từ</v>
      </c>
      <c r="F118" t="str">
        <v>niǎo</v>
      </c>
      <c r="G118" t="str">
        <f>IFERROR(__xludf.DUMMYFUNCTION("GOOGLETRANSLATE(D118,""zh"",""vi"")"),"chim")</f>
        <v>chim</v>
      </c>
      <c r="H118" t="str">
        <v>16. Tự nhiên</v>
      </c>
    </row>
    <row r="119">
      <c r="A119">
        <v>118</v>
      </c>
      <c r="B119">
        <v>14</v>
      </c>
      <c r="C119" t="str">
        <v xml:space="preserve">  一个人过年多没意思啊</v>
      </c>
      <c r="D119" t="str">
        <v>女孩儿</v>
      </c>
      <c r="E119" t="str">
        <v>Danh từ</v>
      </c>
      <c r="F119" t="str">
        <v>nǚháir</v>
      </c>
      <c r="G119" t="str">
        <f>IFERROR(__xludf.DUMMYFUNCTION("GOOGLETRANSLATE(D119,""zh"",""vi"")"),"Con gái")</f>
        <v>Con gái</v>
      </c>
      <c r="H119" t="str">
        <v>1. Con người &amp; Các mối quan hệ</v>
      </c>
    </row>
    <row r="120">
      <c r="A120">
        <v>119</v>
      </c>
      <c r="B120">
        <v>9</v>
      </c>
      <c r="C120" t="str">
        <v>我去买杯奶茶</v>
      </c>
      <c r="D120" t="str">
        <v>旁边</v>
      </c>
      <c r="E120" t="str">
        <v>Danh từ</v>
      </c>
      <c r="F120" t="str">
        <v>pángbiān</v>
      </c>
      <c r="G120" t="str">
        <f>IFERROR(__xludf.DUMMYFUNCTION("GOOGLETRANSLATE(D120,""zh"",""vi"")"),"bên cạnh")</f>
        <v>bên cạnh</v>
      </c>
      <c r="H120" t="str">
        <v>9. Không gian &amp; Vị trí</v>
      </c>
    </row>
    <row r="121">
      <c r="A121">
        <v>120</v>
      </c>
      <c r="B121">
        <v>7</v>
      </c>
      <c r="C121" t="str">
        <v xml:space="preserve"> 他篮球打得很好</v>
      </c>
      <c r="D121" t="str">
        <v>跑</v>
      </c>
      <c r="E121" t="str">
        <v>Động từ</v>
      </c>
      <c r="F121" t="str">
        <v>pǎo</v>
      </c>
      <c r="G121" t="str">
        <f>IFERROR(__xludf.DUMMYFUNCTION("GOOGLETRANSLATE(D121,""zh"",""vi"")"),"chạy")</f>
        <v>chạy</v>
      </c>
      <c r="H121" t="str">
        <v>8. Giao thông &amp; Di chuyển</v>
      </c>
    </row>
    <row r="122">
      <c r="A122">
        <v>121</v>
      </c>
      <c r="B122">
        <v>7</v>
      </c>
      <c r="C122" t="str">
        <v xml:space="preserve"> 他篮球打得很好</v>
      </c>
      <c r="D122" t="str">
        <v>跑步</v>
      </c>
      <c r="F122" t="str">
        <v>pǎobù</v>
      </c>
      <c r="G122" t="str">
        <f>IFERROR(__xludf.DUMMYFUNCTION("GOOGLETRANSLATE(D122,""zh"",""vi"")"),"đang chạy")</f>
        <v>đang chạy</v>
      </c>
      <c r="H122" t="str">
        <v>8. Giao thông &amp; Di chuyển</v>
      </c>
    </row>
    <row r="123">
      <c r="A123">
        <v>122</v>
      </c>
      <c r="B123">
        <v>2</v>
      </c>
      <c r="C123" t="str">
        <v xml:space="preserve"> 还是打车去北大吧</v>
      </c>
      <c r="D123" t="str">
        <v>票</v>
      </c>
      <c r="E123" t="str">
        <v>Danh từ</v>
      </c>
      <c r="F123" t="str">
        <v>piào</v>
      </c>
      <c r="G123" t="str">
        <f>IFERROR(__xludf.DUMMYFUNCTION("GOOGLETRANSLATE(D123,""zh"",""vi"")"),"vé")</f>
        <v>vé</v>
      </c>
      <c r="H123" t="str">
        <v>6. Đồ vật &amp; Công cụ</v>
      </c>
    </row>
    <row r="124">
      <c r="A124">
        <v>123</v>
      </c>
      <c r="B124">
        <v>8</v>
      </c>
      <c r="C124" t="str">
        <v xml:space="preserve"> 虽然你忘了， 但是我记得</v>
      </c>
      <c r="D124" t="str">
        <v>妻子</v>
      </c>
      <c r="E124" t="str">
        <v>Danh từ</v>
      </c>
      <c r="F124" t="str">
        <v>qīzi</v>
      </c>
      <c r="G124" t="str">
        <f>IFERROR(__xludf.DUMMYFUNCTION("GOOGLETRANSLATE(D124,""zh"",""vi"")"),"vợ")</f>
        <v>vợ</v>
      </c>
      <c r="H124" t="str">
        <v>1. Con người &amp; Các mối quan hệ</v>
      </c>
    </row>
    <row r="125">
      <c r="A125">
        <v>124</v>
      </c>
      <c r="B125">
        <v>14</v>
      </c>
      <c r="C125" t="str">
        <v xml:space="preserve">  一个人过年多没意思啊</v>
      </c>
      <c r="D125" t="str">
        <v>前面</v>
      </c>
      <c r="E125" t="str">
        <v>Danh từ</v>
      </c>
      <c r="F125" t="str">
        <v>qiánmiàn</v>
      </c>
      <c r="G125" t="str">
        <f>IFERROR(__xludf.DUMMYFUNCTION("GOOGLETRANSLATE(D125,""zh"",""vi"")"),"Đằng trước")</f>
        <v>Đằng trước</v>
      </c>
      <c r="H125" t="str">
        <v>9. Không gian &amp; Vị trí</v>
      </c>
    </row>
    <row r="126">
      <c r="A126">
        <v>125</v>
      </c>
      <c r="B126">
        <v>12</v>
      </c>
      <c r="C126" t="str">
        <v xml:space="preserve">  这里比北京冷多了</v>
      </c>
      <c r="D126" t="str">
        <v>晴</v>
      </c>
      <c r="E126" t="str">
        <v>Tính từ</v>
      </c>
      <c r="F126" t="str">
        <v>qíng</v>
      </c>
      <c r="G126" t="str">
        <v>trời nắng</v>
      </c>
      <c r="H126" t="str">
        <v>13. Miêu tả &amp; Đánh giá</v>
      </c>
    </row>
    <row r="127">
      <c r="A127">
        <v>126</v>
      </c>
      <c r="B127">
        <v>7</v>
      </c>
      <c r="C127" t="str">
        <v xml:space="preserve"> 他篮球打得很好</v>
      </c>
      <c r="D127" t="str">
        <v>球</v>
      </c>
      <c r="E127" t="str">
        <v>Danh từ</v>
      </c>
      <c r="F127" t="str">
        <v>qiú</v>
      </c>
      <c r="G127" t="str">
        <f>IFERROR(__xludf.DUMMYFUNCTION("GOOGLETRANSLATE(D127,""zh"",""vi"")"),"quả bóng")</f>
        <v>quả bóng</v>
      </c>
      <c r="H127" t="str">
        <v>6. Đồ vật &amp; Công cụ</v>
      </c>
    </row>
    <row r="128">
      <c r="A128">
        <v>127</v>
      </c>
      <c r="B128">
        <v>1</v>
      </c>
      <c r="C128" t="str">
        <v>她请我们吃北京烤鸭</v>
      </c>
      <c r="D128" t="str">
        <v>让</v>
      </c>
      <c r="E128" t="str">
        <v>Động từ</v>
      </c>
      <c r="F128" t="str">
        <v>ràng</v>
      </c>
      <c r="G128" t="str">
        <f>IFERROR(__xludf.DUMMYFUNCTION("GOOGLETRANSLATE(D128,""zh"",""vi"")"),"cho phép")</f>
        <v>cho phép</v>
      </c>
      <c r="H128" t="str">
        <v>15. Công cụ ngữ pháp &amp; Cấu trúc</v>
      </c>
    </row>
    <row r="129">
      <c r="A129">
        <v>128</v>
      </c>
      <c r="B129">
        <v>6</v>
      </c>
      <c r="C129" t="str">
        <v xml:space="preserve"> 小雪，生日快乐！</v>
      </c>
      <c r="D129" t="str">
        <v>肉</v>
      </c>
      <c r="E129" t="str">
        <v>Danh từ</v>
      </c>
      <c r="F129" t="str">
        <v>ròu</v>
      </c>
      <c r="G129" t="str">
        <f>IFERROR(__xludf.DUMMYFUNCTION("GOOGLETRANSLATE(D129,""zh"",""vi"")"),"Thịt")</f>
        <v>Thịt</v>
      </c>
      <c r="H129" t="str">
        <v>5. Đời sống sinh hoạt</v>
      </c>
    </row>
    <row r="130">
      <c r="A130">
        <v>129</v>
      </c>
      <c r="B130">
        <v>4</v>
      </c>
      <c r="C130" t="str">
        <v xml:space="preserve">  你穿红色的很好看</v>
      </c>
      <c r="D130" t="str">
        <v>商场</v>
      </c>
      <c r="E130" t="str">
        <v>Danh từ</v>
      </c>
      <c r="F130" t="str">
        <v>shāngchǎng</v>
      </c>
      <c r="G130" t="str">
        <f>IFERROR(__xludf.DUMMYFUNCTION("GOOGLETRANSLATE(D130,""zh"",""vi"")"),"trung tâm mua sắm")</f>
        <v>trung tâm mua sắm</v>
      </c>
      <c r="H130" t="str">
        <v>7. Địa điểm &amp; Nơi chốn</v>
      </c>
    </row>
    <row r="131">
      <c r="A131">
        <v>130</v>
      </c>
      <c r="B131">
        <v>5</v>
      </c>
      <c r="C131" t="str">
        <v>第一次去中国朋友家</v>
      </c>
      <c r="D131" t="str">
        <v>上来</v>
      </c>
      <c r="E131" t="str">
        <v>Động từ</v>
      </c>
      <c r="F131" t="str">
        <v>shànglái</v>
      </c>
      <c r="G131" t="str">
        <f>IFERROR(__xludf.DUMMYFUNCTION("GOOGLETRANSLATE(D131,""zh"",""vi"")"),"Lên đây nào")</f>
        <v>Lên đây nào</v>
      </c>
      <c r="H131" t="str">
        <v>8. Giao thông &amp; Di chuyển</v>
      </c>
    </row>
    <row r="132">
      <c r="A132">
        <v>131</v>
      </c>
      <c r="B132">
        <v>13</v>
      </c>
      <c r="C132" t="str">
        <v>我们爱上中文课</v>
      </c>
      <c r="D132" t="str">
        <v>上面</v>
      </c>
      <c r="E132" t="str">
        <v>Danh từ</v>
      </c>
      <c r="F132" t="str">
        <v>shàngmiàn</v>
      </c>
      <c r="G132" t="str">
        <f>IFERROR(__xludf.DUMMYFUNCTION("GOOGLETRANSLATE(D132,""zh"",""vi"")"),"bên trên")</f>
        <v>bên trên</v>
      </c>
      <c r="H132" t="str">
        <v>9. Không gian &amp; Vị trí</v>
      </c>
    </row>
    <row r="133">
      <c r="A133">
        <v>132</v>
      </c>
      <c r="B133">
        <v>5</v>
      </c>
      <c r="C133" t="str">
        <v>第一次去中国朋友家</v>
      </c>
      <c r="D133" t="str">
        <v>上去</v>
      </c>
      <c r="E133" t="str">
        <v>Động từ</v>
      </c>
      <c r="F133" t="str">
        <v>shàngqù</v>
      </c>
      <c r="G133" t="str">
        <f>IFERROR(__xludf.DUMMYFUNCTION("GOOGLETRANSLATE(D133,""zh"",""vi"")"),"Đi lên")</f>
        <v>Đi lên</v>
      </c>
      <c r="H133" t="str">
        <v>8. Giao thông &amp; Di chuyển</v>
      </c>
    </row>
    <row r="134">
      <c r="A134">
        <v>133</v>
      </c>
      <c r="B134">
        <v>13</v>
      </c>
      <c r="C134" t="str">
        <v>我们爱上中文课</v>
      </c>
      <c r="D134" t="str">
        <v>上网</v>
      </c>
      <c r="E134" t="str">
        <v>Động từ</v>
      </c>
      <c r="F134" t="str">
        <v>shàngwǎng</v>
      </c>
      <c r="G134" t="str">
        <v>lên mạng</v>
      </c>
      <c r="H134" t="str">
        <v>8. Giao thông &amp; Di chuyển</v>
      </c>
    </row>
    <row r="135">
      <c r="A135">
        <v>134</v>
      </c>
      <c r="B135">
        <v>11</v>
      </c>
      <c r="C135" t="str">
        <v>我最喜欢吃中国菜</v>
      </c>
      <c r="D135" t="str">
        <v>身体</v>
      </c>
      <c r="E135" t="str">
        <v>Danh từ</v>
      </c>
      <c r="F135" t="str">
        <v>shēntǐ</v>
      </c>
      <c r="G135" t="str">
        <v>thân thể, sức khỏe</v>
      </c>
      <c r="H135" t="str">
        <v>2. Cơ thể &amp; Sức khỏe</v>
      </c>
    </row>
    <row r="136">
      <c r="A136">
        <v>135</v>
      </c>
      <c r="B136">
        <v>6</v>
      </c>
      <c r="C136" t="str">
        <v xml:space="preserve"> 小雪，生日快乐！</v>
      </c>
      <c r="D136" t="str">
        <v>生日</v>
      </c>
      <c r="E136" t="str">
        <v>Danh từ</v>
      </c>
      <c r="F136" t="str">
        <v>shēngrì</v>
      </c>
      <c r="G136" t="str">
        <f>IFERROR(__xludf.DUMMYFUNCTION("GOOGLETRANSLATE(D136,""zh"",""vi"")"),"Sinh nhật")</f>
        <v>Sinh nhật</v>
      </c>
      <c r="H136" t="str">
        <v>10. Thời gian</v>
      </c>
    </row>
    <row r="137">
      <c r="A137">
        <v>136</v>
      </c>
      <c r="B137">
        <v>11</v>
      </c>
      <c r="C137" t="str">
        <v>我最喜欢吃中国菜</v>
      </c>
      <c r="D137" t="str">
        <v>时</v>
      </c>
      <c r="E137" t="str">
        <v>Danh từ</v>
      </c>
      <c r="F137" t="str">
        <v>shí</v>
      </c>
      <c r="H137" t="str">
        <v>10. Thời gian</v>
      </c>
    </row>
    <row r="138">
      <c r="A138">
        <v>137</v>
      </c>
      <c r="B138">
        <v>12</v>
      </c>
      <c r="C138" t="str">
        <v xml:space="preserve">  这里比北京冷多了</v>
      </c>
      <c r="D138" t="str">
        <v>事情</v>
      </c>
      <c r="E138" t="str">
        <v>Danh từ</v>
      </c>
      <c r="F138" t="str">
        <v>shìqing</v>
      </c>
      <c r="G138" t="str">
        <f>IFERROR(__xludf.DUMMYFUNCTION("GOOGLETRANSLATE(D138,""zh"",""vi"")"),"vấn đề")</f>
        <v>vấn đề</v>
      </c>
      <c r="H138" t="str">
        <v>4. Tư duy &amp; Nhận thức</v>
      </c>
    </row>
    <row r="139">
      <c r="A139">
        <v>138</v>
      </c>
      <c r="B139">
        <v>4</v>
      </c>
      <c r="C139" t="str">
        <v xml:space="preserve">  你穿红色的很好看</v>
      </c>
      <c r="D139" t="str">
        <v>试</v>
      </c>
      <c r="E139" t="str">
        <v>Động từ</v>
      </c>
      <c r="F139" t="str">
        <v>shì</v>
      </c>
      <c r="G139" t="str">
        <f>IFERROR(__xludf.DUMMYFUNCTION("GOOGLETRANSLATE(D139,""zh"",""vi"")"),"thử")</f>
        <v>thử</v>
      </c>
      <c r="H139" t="str">
        <v>5. Đời sống sinh hoạt</v>
      </c>
    </row>
    <row r="140">
      <c r="A140">
        <v>139</v>
      </c>
      <c r="B140">
        <v>3</v>
      </c>
      <c r="C140" t="str">
        <v>我想去西安旅游</v>
      </c>
      <c r="D140" t="str">
        <v>手</v>
      </c>
      <c r="E140" t="str">
        <v>Danh từ</v>
      </c>
      <c r="F140" t="str">
        <v>shǒu</v>
      </c>
      <c r="G140" t="str">
        <f>IFERROR(__xludf.DUMMYFUNCTION("GOOGLETRANSLATE(D140,""zh"",""vi"")"),"tay")</f>
        <v>tay</v>
      </c>
      <c r="H140" t="str">
        <v>2. Cơ thể &amp; Sức khỏe</v>
      </c>
    </row>
    <row r="141">
      <c r="A141">
        <v>140</v>
      </c>
      <c r="B141">
        <v>8</v>
      </c>
      <c r="C141" t="str">
        <v xml:space="preserve"> 虽然你忘了， 但是我记得</v>
      </c>
      <c r="D141" t="str">
        <v>手表</v>
      </c>
      <c r="E141" t="str">
        <v>Danh từ</v>
      </c>
      <c r="F141" t="str">
        <v>shǒubiǎo</v>
      </c>
      <c r="G141" t="str">
        <v>đồng hồ đeo tay</v>
      </c>
      <c r="H141" t="str">
        <v>2. Cơ thể &amp; Sức khỏe</v>
      </c>
    </row>
    <row r="142">
      <c r="A142">
        <v>141</v>
      </c>
      <c r="B142">
        <v>4</v>
      </c>
      <c r="C142" t="str">
        <v xml:space="preserve">  你穿红色的很好看</v>
      </c>
      <c r="D142" t="str">
        <v>书包</v>
      </c>
      <c r="E142" t="str">
        <v>Danh từ</v>
      </c>
      <c r="F142" t="str">
        <v>shūbāo</v>
      </c>
      <c r="G142" t="str">
        <v>cái túi, cặp sách</v>
      </c>
      <c r="H142" t="str">
        <v>5. Đời sống sinh hoạt</v>
      </c>
    </row>
    <row r="143">
      <c r="A143">
        <v>142</v>
      </c>
      <c r="B143">
        <v>6</v>
      </c>
      <c r="C143" t="str">
        <v xml:space="preserve"> 小雪，生日快乐！</v>
      </c>
      <c r="D143" t="str">
        <v>舒服</v>
      </c>
      <c r="E143" t="str">
        <v>Tính từ</v>
      </c>
      <c r="F143" t="str">
        <v>shūfu</v>
      </c>
      <c r="G143" t="str">
        <f>IFERROR(__xludf.DUMMYFUNCTION("GOOGLETRANSLATE(D143,""zh"",""vi"")"),"Thoải mái")</f>
        <v>Thoải mái</v>
      </c>
      <c r="H143" t="str">
        <v>3. Cảm xúc &amp; Thái độ</v>
      </c>
    </row>
    <row r="144">
      <c r="A144">
        <v>143</v>
      </c>
      <c r="B144">
        <v>3</v>
      </c>
      <c r="C144" t="str">
        <v>我想去西安旅游</v>
      </c>
      <c r="D144" t="str">
        <v>送</v>
      </c>
      <c r="E144" t="str">
        <v>Động từ</v>
      </c>
      <c r="F144" t="str">
        <v>sòng</v>
      </c>
      <c r="G144" t="str">
        <f>IFERROR(__xludf.DUMMYFUNCTION("GOOGLETRANSLATE(D144,""zh"",""vi"")"),"giao")</f>
        <v>giao</v>
      </c>
      <c r="H144" t="str">
        <v>5. Đời sống sinh hoạt</v>
      </c>
    </row>
    <row r="145">
      <c r="A145">
        <v>144</v>
      </c>
      <c r="B145">
        <v>8</v>
      </c>
      <c r="C145" t="str">
        <v xml:space="preserve"> 虽然你忘了， 但是我记得</v>
      </c>
      <c r="D145" t="str">
        <v>虽然</v>
      </c>
      <c r="E145" t="str">
        <v>Liên từ</v>
      </c>
      <c r="F145" t="str">
        <v>suīrán</v>
      </c>
      <c r="G145" t="str">
        <f>IFERROR(__xludf.DUMMYFUNCTION("GOOGLETRANSLATE(D145,""zh"",""vi"")"),"Mặc dù")</f>
        <v>Mặc dù</v>
      </c>
      <c r="H145" t="str">
        <v>15. Công cụ ngữ pháp &amp; Cấu trúc</v>
      </c>
    </row>
    <row r="146">
      <c r="A146">
        <v>145</v>
      </c>
      <c r="B146">
        <v>4</v>
      </c>
      <c r="C146" t="str">
        <v xml:space="preserve">  你穿红色的很好看</v>
      </c>
      <c r="D146" t="str">
        <v>所以</v>
      </c>
      <c r="E146" t="str">
        <v>Liên từ</v>
      </c>
      <c r="F146" t="str">
        <v>suǒyǐ</v>
      </c>
      <c r="G146" t="str">
        <f>IFERROR(__xludf.DUMMYFUNCTION("GOOGLETRANSLATE(D146,""zh"",""vi"")"),"Vì thế")</f>
        <v>Vì thế</v>
      </c>
      <c r="H146" t="str">
        <v>15. Công cụ ngữ pháp &amp; Cấu trúc</v>
      </c>
    </row>
    <row r="147">
      <c r="A147">
        <v>146</v>
      </c>
      <c r="B147">
        <v>11</v>
      </c>
      <c r="C147" t="str">
        <v>我最喜欢吃中国菜</v>
      </c>
      <c r="D147" t="str">
        <v>疼</v>
      </c>
      <c r="E147" t="str">
        <v>Tính từ</v>
      </c>
      <c r="F147" t="str">
        <v>téng</v>
      </c>
      <c r="G147" t="str">
        <v>đau</v>
      </c>
      <c r="H147" t="str">
        <v>2. Cơ thể &amp; Sức khỏe</v>
      </c>
    </row>
    <row r="148">
      <c r="A148">
        <v>147</v>
      </c>
      <c r="B148">
        <v>7</v>
      </c>
      <c r="C148" t="str">
        <v xml:space="preserve"> 他篮球打得很好</v>
      </c>
      <c r="D148" t="str">
        <v>踢</v>
      </c>
      <c r="E148" t="str">
        <v>Động từ</v>
      </c>
      <c r="F148" t="str">
        <v>tī</v>
      </c>
      <c r="G148" t="str">
        <f>IFERROR(__xludf.DUMMYFUNCTION("GOOGLETRANSLATE(D148,""zh"",""vi"")"),"Đá")</f>
        <v>Đá</v>
      </c>
      <c r="H148" t="str">
        <v>5. Đời sống sinh hoạt</v>
      </c>
    </row>
    <row r="149">
      <c r="A149">
        <v>148</v>
      </c>
      <c r="B149">
        <v>10</v>
      </c>
      <c r="C149" t="str">
        <v xml:space="preserve"> 就要考试了</v>
      </c>
      <c r="D149" t="str">
        <v>题</v>
      </c>
      <c r="E149" t="str">
        <v>Danh từ</v>
      </c>
      <c r="F149" t="str">
        <v>tí</v>
      </c>
      <c r="G149" t="str">
        <f>IFERROR(__xludf.DUMMYFUNCTION("GOOGLETRANSLATE(D149,""zh"",""vi"")"),"câu hỏi")</f>
        <v>câu hỏi</v>
      </c>
      <c r="H149" t="str">
        <v>4. Tư duy &amp; Nhận thức</v>
      </c>
    </row>
    <row r="150">
      <c r="A150">
        <v>149</v>
      </c>
      <c r="B150">
        <v>4</v>
      </c>
      <c r="C150" t="str">
        <v xml:space="preserve">  你穿红色的很好看</v>
      </c>
      <c r="D150" t="str">
        <v>条</v>
      </c>
      <c r="E150" t="str">
        <v>Lượng từ</v>
      </c>
      <c r="F150" t="str">
        <v>tiáo</v>
      </c>
      <c r="G150" t="str">
        <v>lượng từ cho những vật dài, hẹp hoặc những thứ sợi</v>
      </c>
      <c r="H150" t="str">
        <v>9. Không gian &amp; Vị trí</v>
      </c>
    </row>
    <row r="151">
      <c r="A151">
        <v>150</v>
      </c>
      <c r="B151">
        <v>14</v>
      </c>
      <c r="C151" t="str">
        <v xml:space="preserve">  一个人过年多没意思啊</v>
      </c>
      <c r="D151" t="str">
        <v>跳舞</v>
      </c>
      <c r="E151" t="str">
        <v>Động từ</v>
      </c>
      <c r="F151" t="str">
        <v>tiàowǔ</v>
      </c>
      <c r="G151" t="str">
        <f>IFERROR(__xludf.DUMMYFUNCTION("GOOGLETRANSLATE(D151,""zh"",""vi"")"),"Nhảy")</f>
        <v>Nhảy</v>
      </c>
      <c r="H151" t="str">
        <v>5. Đời sống sinh hoạt</v>
      </c>
    </row>
    <row r="152">
      <c r="A152">
        <v>151</v>
      </c>
      <c r="B152">
        <v>11</v>
      </c>
      <c r="C152" t="str">
        <v>我最喜欢吃中国菜</v>
      </c>
      <c r="D152" t="str">
        <v>头</v>
      </c>
      <c r="E152" t="str">
        <v>Danh từ</v>
      </c>
      <c r="F152" t="str">
        <v>tóu</v>
      </c>
      <c r="G152" t="str">
        <f>IFERROR(__xludf.DUMMYFUNCTION("GOOGLETRANSLATE(D152,""zh"",""vi"")"),"cái đầu")</f>
        <v>cái đầu</v>
      </c>
      <c r="H152" t="str">
        <v>2. Cơ thể &amp; Sức khỏe</v>
      </c>
    </row>
    <row r="153">
      <c r="A153">
        <v>152</v>
      </c>
      <c r="B153">
        <v>2</v>
      </c>
      <c r="C153" t="str">
        <v xml:space="preserve"> 还是打车去北大吧</v>
      </c>
      <c r="D153" t="str">
        <v>外国</v>
      </c>
      <c r="E153" t="str">
        <v>Danh từ</v>
      </c>
      <c r="F153" t="str">
        <v>wàiguó</v>
      </c>
      <c r="G153" t="str">
        <f>IFERROR(__xludf.DUMMYFUNCTION("GOOGLETRANSLATE(D153,""zh"",""vi"")"),"nước ngoài")</f>
        <v>nước ngoài</v>
      </c>
      <c r="H153" t="str">
        <v>7. Địa điểm &amp; Nơi chốn</v>
      </c>
    </row>
    <row r="154">
      <c r="A154">
        <v>153</v>
      </c>
      <c r="B154">
        <v>12</v>
      </c>
      <c r="C154" t="str">
        <v xml:space="preserve">  这里比北京冷多了</v>
      </c>
      <c r="D154" t="str">
        <v>外面</v>
      </c>
      <c r="E154" t="str">
        <v>Danh từ</v>
      </c>
      <c r="F154" t="str">
        <v>wàimiàn</v>
      </c>
      <c r="G154" t="str">
        <f>IFERROR(__xludf.DUMMYFUNCTION("GOOGLETRANSLATE(D154,""zh"",""vi"")"),"Ngoài")</f>
        <v>Ngoài</v>
      </c>
      <c r="H154" t="str">
        <v>7. Địa điểm &amp; Nơi chốn</v>
      </c>
    </row>
    <row r="155">
      <c r="A155">
        <v>154</v>
      </c>
      <c r="B155">
        <v>3</v>
      </c>
      <c r="C155" t="str">
        <v>我想去西安旅游</v>
      </c>
      <c r="D155" t="str">
        <v>完</v>
      </c>
      <c r="E155" t="str">
        <v>Động từ</v>
      </c>
      <c r="F155" t="str">
        <v>wán</v>
      </c>
      <c r="G155" t="str">
        <v>hoàn thành, xong</v>
      </c>
      <c r="H155" t="str">
        <v>13. Miêu tả &amp; Đánh giá</v>
      </c>
    </row>
    <row r="156">
      <c r="A156">
        <v>155</v>
      </c>
      <c r="B156">
        <v>2</v>
      </c>
      <c r="C156" t="str">
        <v xml:space="preserve"> 还是打车去北大吧</v>
      </c>
      <c r="D156" t="str">
        <v>万</v>
      </c>
      <c r="E156" t="str">
        <v>Số từ</v>
      </c>
      <c r="F156" t="str">
        <v>wàn</v>
      </c>
      <c r="G156" t="str">
        <v>vạn, mười nghìn</v>
      </c>
      <c r="H156" t="str">
        <v>14. Số lượng &amp; Đo lường</v>
      </c>
    </row>
    <row r="157">
      <c r="A157">
        <v>156</v>
      </c>
      <c r="B157">
        <v>2</v>
      </c>
      <c r="C157" t="str">
        <v xml:space="preserve"> 还是打车去北大吧</v>
      </c>
      <c r="D157" t="str">
        <v>网上</v>
      </c>
      <c r="E157" t="str">
        <v>Danh từ</v>
      </c>
      <c r="F157" t="str">
        <v>wǎngshang</v>
      </c>
      <c r="G157" t="str">
        <f>IFERROR(__xludf.DUMMYFUNCTION("GOOGLETRANSLATE(D157,""zh"",""vi"")"),"Trực tuyến")</f>
        <v>Trực tuyến</v>
      </c>
      <c r="H157" t="str">
        <v>9. Không gian &amp; Vị trí</v>
      </c>
    </row>
    <row r="158" xml:space="preserve">
      <c r="A158">
        <v>157</v>
      </c>
      <c r="B158">
        <v>7</v>
      </c>
      <c r="C158" t="str">
        <v xml:space="preserve"> 他篮球打得很好</v>
      </c>
      <c r="D158" t="str">
        <v>往</v>
      </c>
      <c r="E158" t="str">
        <v>Động từ, Giới từ</v>
      </c>
      <c r="F158" t="str">
        <v>wǎng</v>
      </c>
      <c r="G158" t="str" xml:space="preserve">
        <v xml:space="preserve">hướng về_x000d_
đi về_x000d_
</v>
      </c>
      <c r="H158" t="str">
        <v>8. Giao thông &amp; Di chuyển</v>
      </c>
    </row>
    <row r="159">
      <c r="A159">
        <v>158</v>
      </c>
      <c r="B159">
        <v>6</v>
      </c>
      <c r="C159" t="str">
        <v xml:space="preserve"> 小雪，生日快乐！</v>
      </c>
      <c r="D159" t="str">
        <v>忘</v>
      </c>
      <c r="E159" t="str">
        <v>Động từ</v>
      </c>
      <c r="F159" t="str">
        <v>wàng</v>
      </c>
      <c r="G159" t="str">
        <f>IFERROR(__xludf.DUMMYFUNCTION("GOOGLETRANSLATE(D159,""zh"",""vi"")"),"quên")</f>
        <v>quên</v>
      </c>
      <c r="H159" t="str">
        <v>4. Tư duy &amp; Nhận thức</v>
      </c>
    </row>
    <row r="160">
      <c r="A160">
        <v>159</v>
      </c>
      <c r="B160">
        <v>3</v>
      </c>
      <c r="C160" t="str">
        <v>我想去西安旅游</v>
      </c>
      <c r="D160" t="str">
        <v>为什么</v>
      </c>
      <c r="F160" t="str">
        <v>wèi shénme</v>
      </c>
      <c r="G160" t="str">
        <f>IFERROR(__xludf.DUMMYFUNCTION("GOOGLETRANSLATE(D160,""zh"",""vi"")"),"Tại sao")</f>
        <v>Tại sao</v>
      </c>
      <c r="H160" t="str">
        <v>15. Công cụ ngữ pháp &amp; Cấu trúc</v>
      </c>
    </row>
    <row r="161">
      <c r="A161">
        <v>160</v>
      </c>
      <c r="B161">
        <v>14</v>
      </c>
      <c r="C161" t="str">
        <v xml:space="preserve">  一个人过年多没意思啊</v>
      </c>
      <c r="D161" t="str">
        <v>位</v>
      </c>
      <c r="E161" t="str">
        <v>Lượng từ</v>
      </c>
      <c r="F161" t="str">
        <v>wèi</v>
      </c>
      <c r="G161" t="str">
        <v>Lượng từ dành cho người</v>
      </c>
      <c r="H161" t="str">
        <v>14. Số lượng &amp; Đo lường</v>
      </c>
    </row>
    <row r="162">
      <c r="A162">
        <v>161</v>
      </c>
      <c r="B162">
        <v>13</v>
      </c>
      <c r="C162" t="str">
        <v>我们爱上中文课</v>
      </c>
      <c r="D162" t="str">
        <v>希望</v>
      </c>
      <c r="E162" t="str">
        <v>Động từ</v>
      </c>
      <c r="F162" t="str">
        <v>xīwàng</v>
      </c>
      <c r="G162" t="str">
        <f>IFERROR(__xludf.DUMMYFUNCTION("GOOGLETRANSLATE(D162,""zh"",""vi"")"),"mong")</f>
        <v>mong</v>
      </c>
      <c r="H162" t="str">
        <v>3. Cảm xúc &amp; Thái độ</v>
      </c>
    </row>
    <row r="163">
      <c r="A163">
        <v>162</v>
      </c>
      <c r="B163">
        <v>3</v>
      </c>
      <c r="C163" t="str">
        <v>我想去西安旅游</v>
      </c>
      <c r="D163" t="str">
        <v>洗</v>
      </c>
      <c r="E163" t="str">
        <v>Động từ</v>
      </c>
      <c r="F163" t="str">
        <v>xǐ</v>
      </c>
      <c r="G163" t="str">
        <f>IFERROR(__xludf.DUMMYFUNCTION("GOOGLETRANSLATE(D163,""zh"",""vi"")"),"rửa")</f>
        <v>rửa</v>
      </c>
      <c r="H163" t="str">
        <v>5. Đời sống sinh hoạt</v>
      </c>
    </row>
    <row r="164">
      <c r="A164">
        <v>163</v>
      </c>
      <c r="B164">
        <v>13</v>
      </c>
      <c r="C164" t="str">
        <v>我们爱上中文课</v>
      </c>
      <c r="D164" t="str">
        <v>洗手间</v>
      </c>
      <c r="E164" t="str">
        <v>Danh từ</v>
      </c>
      <c r="F164" t="str">
        <v>xǐshǒujiān</v>
      </c>
      <c r="G164" t="str">
        <f>IFERROR(__xludf.DUMMYFUNCTION("GOOGLETRANSLATE(D164,""zh"",""vi"")"),"Nhà vệ sinh")</f>
        <v>Nhà vệ sinh</v>
      </c>
      <c r="H164" t="str">
        <v>7. Địa điểm &amp; Nơi chốn</v>
      </c>
    </row>
    <row r="165">
      <c r="A165">
        <v>164</v>
      </c>
      <c r="B165">
        <v>5</v>
      </c>
      <c r="C165" t="str">
        <v>第一次去中国朋友家</v>
      </c>
      <c r="D165" t="str">
        <v>下来</v>
      </c>
      <c r="E165" t="str">
        <v>Động từ</v>
      </c>
      <c r="F165" t="str">
        <v>xiàlái</v>
      </c>
      <c r="G165" t="str">
        <v>xuống đây</v>
      </c>
      <c r="H165" t="str">
        <v>8. Giao thông &amp; Di chuyển</v>
      </c>
    </row>
    <row r="166">
      <c r="A166">
        <v>165</v>
      </c>
      <c r="B166">
        <v>5</v>
      </c>
      <c r="C166" t="str">
        <v>第一次去中国朋友家</v>
      </c>
      <c r="D166" t="str">
        <v>下面</v>
      </c>
      <c r="E166" t="str">
        <v>Danh từ</v>
      </c>
      <c r="F166" t="str">
        <v>xiàmiàn</v>
      </c>
      <c r="G166" t="str">
        <f>IFERROR(__xludf.DUMMYFUNCTION("GOOGLETRANSLATE(D166,""zh"",""vi"")"),"dưới")</f>
        <v>dưới</v>
      </c>
      <c r="H166" t="str">
        <v>9. Không gian &amp; Vị trí</v>
      </c>
    </row>
    <row r="167">
      <c r="A167">
        <v>166</v>
      </c>
      <c r="B167">
        <v>5</v>
      </c>
      <c r="C167" t="str">
        <v>第一次去中国朋友家</v>
      </c>
      <c r="D167" t="str">
        <v>下去</v>
      </c>
      <c r="E167" t="str">
        <v>Động từ</v>
      </c>
      <c r="F167" t="str">
        <v>xiàqù</v>
      </c>
      <c r="G167" t="str">
        <f>IFERROR(__xludf.DUMMYFUNCTION("GOOGLETRANSLATE(D167,""zh"",""vi"")"),"Đi xuống")</f>
        <v>Đi xuống</v>
      </c>
      <c r="H167" t="str">
        <v>8. Giao thông &amp; Di chuyển</v>
      </c>
    </row>
    <row r="168">
      <c r="A168">
        <v>167</v>
      </c>
      <c r="B168">
        <v>14</v>
      </c>
      <c r="C168" t="str">
        <v xml:space="preserve">  一个人过年多没意思啊</v>
      </c>
      <c r="D168" t="str">
        <v>小孩儿</v>
      </c>
      <c r="E168" t="str">
        <v>Danh từ</v>
      </c>
      <c r="F168" t="str">
        <v>xiǎoháir</v>
      </c>
      <c r="G168" t="str">
        <f>IFERROR(__xludf.DUMMYFUNCTION("GOOGLETRANSLATE(D168,""zh"",""vi"")"),"những đứa trẻ")</f>
        <v>những đứa trẻ</v>
      </c>
      <c r="H168" t="str">
        <v>1. Con người &amp; Các mối quan hệ</v>
      </c>
    </row>
    <row r="169">
      <c r="A169">
        <v>168</v>
      </c>
      <c r="B169">
        <v>12</v>
      </c>
      <c r="C169" t="str">
        <v xml:space="preserve">  这里比北京冷多了</v>
      </c>
      <c r="D169" t="str">
        <v>小时候</v>
      </c>
      <c r="E169" t="str">
        <v>Danh từ</v>
      </c>
      <c r="F169" t="str">
        <v>xiǎoshíhou</v>
      </c>
      <c r="G169" t="str">
        <v>khi bé</v>
      </c>
      <c r="H169" t="str">
        <v>10. Thời gian</v>
      </c>
    </row>
    <row r="170">
      <c r="A170">
        <v>169</v>
      </c>
      <c r="B170">
        <v>10</v>
      </c>
      <c r="C170" t="str">
        <v xml:space="preserve"> 就要考试了</v>
      </c>
      <c r="D170" t="str">
        <v>笑</v>
      </c>
      <c r="E170" t="str">
        <v>Động từ</v>
      </c>
      <c r="F170" t="str">
        <v>xiào</v>
      </c>
      <c r="G170" t="str">
        <f>IFERROR(__xludf.DUMMYFUNCTION("GOOGLETRANSLATE(D170,""zh"",""vi"")"),"cười")</f>
        <v>cười</v>
      </c>
      <c r="H170" t="str">
        <v>3. Cảm xúc &amp; Thái độ</v>
      </c>
    </row>
    <row r="171">
      <c r="A171">
        <v>170</v>
      </c>
      <c r="B171">
        <v>13</v>
      </c>
      <c r="C171" t="str">
        <v>我们爱上中文课</v>
      </c>
      <c r="D171" t="str">
        <v>新年</v>
      </c>
      <c r="E171" t="str">
        <v>Danh từ</v>
      </c>
      <c r="F171" t="str">
        <v>xīnnián</v>
      </c>
      <c r="G171" t="str">
        <f>IFERROR(__xludf.DUMMYFUNCTION("GOOGLETRANSLATE(D171,""zh"",""vi"")"),"năm mới")</f>
        <v>năm mới</v>
      </c>
      <c r="H171" t="str">
        <v>10. Thời gian</v>
      </c>
    </row>
    <row r="172">
      <c r="A172">
        <v>171</v>
      </c>
      <c r="B172">
        <v>14</v>
      </c>
      <c r="C172" t="str">
        <v xml:space="preserve">  一个人过年多没意思啊</v>
      </c>
      <c r="D172" t="str">
        <v>姓</v>
      </c>
      <c r="E172" t="str">
        <v>Động từ</v>
      </c>
      <c r="F172" t="str">
        <v>xìng</v>
      </c>
      <c r="G172" t="str">
        <f>IFERROR(__xludf.DUMMYFUNCTION("GOOGLETRANSLATE(D172,""zh"",""vi"")"),"họ")</f>
        <v>họ</v>
      </c>
      <c r="H172" t="str">
        <v>1. Con người &amp; Các mối quan hệ</v>
      </c>
    </row>
    <row r="173">
      <c r="A173">
        <v>172</v>
      </c>
      <c r="B173">
        <v>15</v>
      </c>
      <c r="C173" t="str">
        <v>我想去一次中国</v>
      </c>
      <c r="D173" t="str">
        <v>姓名</v>
      </c>
      <c r="E173" t="str">
        <v>Danh từ</v>
      </c>
      <c r="F173" t="str">
        <v>xìngmíng</v>
      </c>
      <c r="G173" t="str">
        <f>IFERROR(__xludf.DUMMYFUNCTION("GOOGLETRANSLATE(D173,""zh"",""vi"")"),"Tên")</f>
        <v>Tên</v>
      </c>
      <c r="H173" t="str">
        <v>1. Con người &amp; Các mối quan hệ</v>
      </c>
    </row>
    <row r="174">
      <c r="A174">
        <v>173</v>
      </c>
      <c r="B174">
        <v>4</v>
      </c>
      <c r="C174" t="str">
        <v xml:space="preserve">  你穿红色的很好看</v>
      </c>
      <c r="D174" t="str">
        <v>颜色</v>
      </c>
      <c r="E174" t="str">
        <v>Danh từ</v>
      </c>
      <c r="F174" t="str">
        <v>yánsè</v>
      </c>
      <c r="G174" t="str">
        <f>IFERROR(__xludf.DUMMYFUNCTION("GOOGLETRANSLATE(D174,""zh"",""vi"")"),"màu sắc")</f>
        <v>màu sắc</v>
      </c>
      <c r="H174" t="str">
        <v>13. Miêu tả &amp; Đánh giá</v>
      </c>
    </row>
    <row r="175">
      <c r="A175">
        <v>174</v>
      </c>
      <c r="B175">
        <v>14</v>
      </c>
      <c r="C175" t="str">
        <v xml:space="preserve">  一个人过年多没意思啊</v>
      </c>
      <c r="D175" t="str">
        <v>眼睛</v>
      </c>
      <c r="E175" t="str">
        <v>Danh từ</v>
      </c>
      <c r="F175" t="str">
        <v>yǎnjing</v>
      </c>
      <c r="G175" t="str">
        <f>IFERROR(__xludf.DUMMYFUNCTION("GOOGLETRANSLATE(D175,""zh"",""vi"")"),"Mắt")</f>
        <v>Mắt</v>
      </c>
      <c r="H175" t="str">
        <v>2. Cơ thể &amp; Sức khỏe</v>
      </c>
    </row>
    <row r="176">
      <c r="A176">
        <v>175</v>
      </c>
      <c r="B176">
        <v>11</v>
      </c>
      <c r="C176" t="str">
        <v>我最喜欢吃中国菜</v>
      </c>
      <c r="D176" t="str">
        <v>药</v>
      </c>
      <c r="E176" t="str">
        <v>Danh từ</v>
      </c>
      <c r="F176" t="str">
        <v>yào</v>
      </c>
      <c r="G176" t="str">
        <f>IFERROR(__xludf.DUMMYFUNCTION("GOOGLETRANSLATE(D176,""zh"",""vi"")"),"thuốc")</f>
        <v>thuốc</v>
      </c>
      <c r="H176" t="str">
        <v>2. Cơ thể &amp; Sức khỏe</v>
      </c>
    </row>
    <row r="177">
      <c r="A177">
        <v>176</v>
      </c>
      <c r="B177">
        <v>11</v>
      </c>
      <c r="C177" t="str">
        <v>我最喜欢吃中国菜</v>
      </c>
      <c r="D177" t="str">
        <v>药店</v>
      </c>
      <c r="E177" t="str">
        <v>Danh từ</v>
      </c>
      <c r="F177" t="str">
        <v>yàodiàn</v>
      </c>
      <c r="G177" t="str">
        <f>IFERROR(__xludf.DUMMYFUNCTION("GOOGLETRANSLATE(D177,""zh"",""vi"")"),"nhà thuốc")</f>
        <v>nhà thuốc</v>
      </c>
      <c r="H177" t="str">
        <v>2. Cơ thể &amp; Sức khỏe</v>
      </c>
    </row>
    <row r="178">
      <c r="A178">
        <v>177</v>
      </c>
      <c r="B178">
        <v>5</v>
      </c>
      <c r="C178" t="str">
        <v>第一次去中国朋友家</v>
      </c>
      <c r="D178" t="str">
        <v>爷爷</v>
      </c>
      <c r="E178" t="str">
        <v>Danh từ</v>
      </c>
      <c r="F178" t="str">
        <v>yéye</v>
      </c>
      <c r="G178" t="str">
        <f>IFERROR(__xludf.DUMMYFUNCTION("GOOGLETRANSLATE(D178,""zh"",""vi"")"),"ông nội")</f>
        <v>ông nội</v>
      </c>
      <c r="H178" t="str">
        <v>1. Con người &amp; Các mối quan hệ</v>
      </c>
    </row>
    <row r="179">
      <c r="A179">
        <v>178</v>
      </c>
      <c r="B179">
        <v>5</v>
      </c>
      <c r="C179" t="str">
        <v>第一次去中国朋友家</v>
      </c>
      <c r="D179" t="str">
        <v>一会儿</v>
      </c>
      <c r="F179" t="str">
        <v>yíhuìr</v>
      </c>
      <c r="G179" t="str">
        <f>IFERROR(__xludf.DUMMYFUNCTION("GOOGLETRANSLATE(D179,""zh"",""vi"")"),"Một lúc")</f>
        <v>Một lúc</v>
      </c>
      <c r="H179" t="str">
        <v>10. Thời gian</v>
      </c>
    </row>
    <row r="180">
      <c r="A180">
        <v>179</v>
      </c>
      <c r="B180">
        <v>3</v>
      </c>
      <c r="C180" t="str">
        <v>我想去西安旅游</v>
      </c>
      <c r="D180" t="str">
        <v>一起</v>
      </c>
      <c r="E180" t="str">
        <v>Phó từ</v>
      </c>
      <c r="F180" t="str">
        <v>yìqǐ</v>
      </c>
      <c r="G180" t="str">
        <f>IFERROR(__xludf.DUMMYFUNCTION("GOOGLETRANSLATE(D180,""zh"",""vi"")"),"Cùng nhau")</f>
        <v>Cùng nhau</v>
      </c>
      <c r="H180" t="str">
        <v>15. Công cụ ngữ pháp &amp; Cấu trúc</v>
      </c>
    </row>
    <row r="181">
      <c r="A181">
        <v>180</v>
      </c>
      <c r="B181">
        <v>1</v>
      </c>
      <c r="C181" t="str">
        <v>她请我们吃北京烤鸭</v>
      </c>
      <c r="D181" t="str">
        <v>已经</v>
      </c>
      <c r="E181" t="str">
        <v>Phó từ</v>
      </c>
      <c r="F181" t="str">
        <v>yǐjīng</v>
      </c>
      <c r="G181" t="str">
        <f>IFERROR(__xludf.DUMMYFUNCTION("GOOGLETRANSLATE(D181,""zh"",""vi"")"),"đã")</f>
        <v>đã</v>
      </c>
      <c r="H181" t="str">
        <v>10. Thời gian</v>
      </c>
    </row>
    <row r="182">
      <c r="A182">
        <v>181</v>
      </c>
      <c r="B182">
        <v>1</v>
      </c>
      <c r="C182" t="str">
        <v>她请我们吃北京烤鸭</v>
      </c>
      <c r="D182" t="str">
        <v>意思</v>
      </c>
      <c r="E182" t="str">
        <v>Danh từ</v>
      </c>
      <c r="F182" t="str">
        <v>yìsi</v>
      </c>
      <c r="G182" t="str">
        <v>ý kiến, nghĩa</v>
      </c>
      <c r="H182" t="str">
        <v>4. Tư duy &amp; Nhận thức</v>
      </c>
    </row>
    <row r="183">
      <c r="A183">
        <v>182</v>
      </c>
      <c r="B183">
        <v>4</v>
      </c>
      <c r="C183" t="str">
        <v xml:space="preserve">  你穿红色的很好看</v>
      </c>
      <c r="D183" t="str">
        <v>因为</v>
      </c>
      <c r="E183" t="str">
        <v>Liên từ</v>
      </c>
      <c r="F183" t="str">
        <v>yīnwèi</v>
      </c>
      <c r="G183" t="str">
        <f>IFERROR(__xludf.DUMMYFUNCTION("GOOGLETRANSLATE(D183,""zh"",""vi"")"),"bởi vì")</f>
        <v>bởi vì</v>
      </c>
      <c r="H183" t="str">
        <v>15. Công cụ ngữ pháp &amp; Cấu trúc</v>
      </c>
    </row>
    <row r="184">
      <c r="A184">
        <v>183</v>
      </c>
      <c r="B184">
        <v>12</v>
      </c>
      <c r="C184" t="str">
        <v xml:space="preserve">  这里比北京冷多了</v>
      </c>
      <c r="D184" t="str">
        <v>阴</v>
      </c>
      <c r="E184" t="str">
        <v>Tính từ</v>
      </c>
      <c r="F184" t="str">
        <v>yīn</v>
      </c>
      <c r="G184" t="str">
        <v>nhiều mây</v>
      </c>
      <c r="H184" t="str">
        <v>13. Miêu tả &amp; Đánh giá</v>
      </c>
    </row>
    <row r="185">
      <c r="A185">
        <v>184</v>
      </c>
      <c r="B185">
        <v>7</v>
      </c>
      <c r="C185" t="str">
        <v xml:space="preserve"> 他篮球打得很好</v>
      </c>
      <c r="D185" t="str">
        <v>游</v>
      </c>
      <c r="E185" t="str">
        <v>Động từ</v>
      </c>
      <c r="F185" t="str">
        <v>yóu</v>
      </c>
      <c r="G185" t="str">
        <v>bơi</v>
      </c>
      <c r="H185" t="str">
        <v>8. Giao thông &amp; Di chuyển</v>
      </c>
    </row>
    <row r="186">
      <c r="A186">
        <v>185</v>
      </c>
      <c r="B186">
        <v>7</v>
      </c>
      <c r="C186" t="str">
        <v xml:space="preserve"> 他篮球打得很好</v>
      </c>
      <c r="D186" t="str">
        <v>游泳</v>
      </c>
      <c r="E186" t="str">
        <v>Động từ</v>
      </c>
      <c r="F186" t="str">
        <v>yóuyǒng</v>
      </c>
      <c r="G186" t="str">
        <f>IFERROR(__xludf.DUMMYFUNCTION("GOOGLETRANSLATE(D186,""zh"",""vi"")"),"bơi")</f>
        <v>bơi</v>
      </c>
      <c r="H186" t="str">
        <v>8. Giao thông &amp; Di chuyển</v>
      </c>
    </row>
    <row r="187">
      <c r="A187">
        <v>186</v>
      </c>
      <c r="B187">
        <v>1</v>
      </c>
      <c r="C187" t="str">
        <v>她请我们吃北京烤鸭</v>
      </c>
      <c r="D187" t="str">
        <v>有时</v>
      </c>
      <c r="E187" t="str">
        <v>Phó từ</v>
      </c>
      <c r="F187" t="str">
        <v>yǒushí</v>
      </c>
      <c r="G187" t="str">
        <f>IFERROR(__xludf.DUMMYFUNCTION("GOOGLETRANSLATE(D187,""zh"",""vi"")"),"Thỉnh thoảng")</f>
        <v>Thỉnh thoảng</v>
      </c>
      <c r="H187" t="str">
        <v>15. Công cụ ngữ pháp &amp; Cấu trúc</v>
      </c>
    </row>
    <row r="188">
      <c r="A188">
        <v>187</v>
      </c>
      <c r="B188">
        <v>8</v>
      </c>
      <c r="C188" t="str">
        <v xml:space="preserve"> 虽然你忘了， 但是我记得</v>
      </c>
      <c r="D188" t="str">
        <v>有意思</v>
      </c>
      <c r="F188" t="str">
        <v>yǒu yìsi</v>
      </c>
      <c r="G188" t="str">
        <v>hay, hấp dẫn, thú vị</v>
      </c>
      <c r="H188" t="str">
        <v>13. Miêu tả &amp; Đánh giá</v>
      </c>
    </row>
    <row r="189">
      <c r="A189">
        <v>188</v>
      </c>
      <c r="B189">
        <v>8</v>
      </c>
      <c r="C189" t="str">
        <v xml:space="preserve"> 虽然你忘了， 但是我记得</v>
      </c>
      <c r="D189" t="str">
        <v>右</v>
      </c>
      <c r="E189" t="str">
        <v>Danh từ</v>
      </c>
      <c r="F189" t="str">
        <v>yòu</v>
      </c>
      <c r="G189" t="str">
        <f>IFERROR(__xludf.DUMMYFUNCTION("GOOGLETRANSLATE(D189,""zh"",""vi"")"),"Phải")</f>
        <v>Phải</v>
      </c>
      <c r="H189" t="str">
        <v>9. Không gian &amp; Vị trí</v>
      </c>
    </row>
    <row r="190">
      <c r="A190">
        <v>189</v>
      </c>
      <c r="B190">
        <v>8</v>
      </c>
      <c r="C190" t="str">
        <v xml:space="preserve"> 虽然你忘了， 但是我记得</v>
      </c>
      <c r="D190" t="str">
        <v>右边</v>
      </c>
      <c r="E190" t="str">
        <v>Danh từ</v>
      </c>
      <c r="F190" t="str">
        <v>yòubian</v>
      </c>
      <c r="G190" t="str">
        <v>bên phải</v>
      </c>
      <c r="H190" t="str">
        <v>9. Không gian &amp; Vị trí</v>
      </c>
    </row>
    <row r="191">
      <c r="A191">
        <v>190</v>
      </c>
      <c r="B191">
        <v>6</v>
      </c>
      <c r="C191" t="str">
        <v xml:space="preserve"> 小雪，生日快乐！</v>
      </c>
      <c r="D191" t="str">
        <v>鱼</v>
      </c>
      <c r="E191" t="str">
        <v>Danh từ</v>
      </c>
      <c r="F191" t="str">
        <v>yú</v>
      </c>
      <c r="G191" t="str">
        <f>IFERROR(__xludf.DUMMYFUNCTION("GOOGLETRANSLATE(D191,""zh"",""vi"")"),"cá")</f>
        <v>cá</v>
      </c>
      <c r="H191" t="str">
        <v>5. Đời sống sinh hoạt</v>
      </c>
    </row>
    <row r="192">
      <c r="A192">
        <v>191</v>
      </c>
      <c r="B192">
        <v>2</v>
      </c>
      <c r="C192" t="str">
        <v xml:space="preserve"> 还是打车去北大吧</v>
      </c>
      <c r="D192" t="str">
        <v>远</v>
      </c>
      <c r="E192" t="str">
        <v>Tính từ</v>
      </c>
      <c r="F192" t="str">
        <v>yuǎn</v>
      </c>
      <c r="G192" t="str">
        <f>IFERROR(__xludf.DUMMYFUNCTION("GOOGLETRANSLATE(D192,""zh"",""vi"")"),"Xa")</f>
        <v>Xa</v>
      </c>
      <c r="H192" t="str">
        <v>9. Không gian &amp; Vị trí</v>
      </c>
    </row>
    <row r="193" xml:space="preserve">
      <c r="A193">
        <v>192</v>
      </c>
      <c r="B193">
        <v>7</v>
      </c>
      <c r="C193" t="str">
        <v xml:space="preserve"> 他篮球打得很好</v>
      </c>
      <c r="D193" t="str">
        <v>运动</v>
      </c>
      <c r="E193" t="str">
        <v>Động từ, Danh từ</v>
      </c>
      <c r="F193" t="str">
        <v>yùndòng</v>
      </c>
      <c r="G193" t="str" xml:space="preserve">
        <v xml:space="preserve">thể thao _x000d_
vận động</v>
      </c>
      <c r="H193" t="str">
        <v>5. Đời sống sinh hoạt</v>
      </c>
    </row>
    <row r="194">
      <c r="A194">
        <v>193</v>
      </c>
      <c r="B194">
        <v>14</v>
      </c>
      <c r="D194" t="str">
        <v>站</v>
      </c>
      <c r="E194" t="str">
        <v>Động từ</v>
      </c>
      <c r="F194" t="str">
        <v>zhàn</v>
      </c>
      <c r="G194" t="str">
        <v>đứng</v>
      </c>
      <c r="H194" t="str">
        <v>8. Giao thông &amp; Di chuyển</v>
      </c>
    </row>
    <row r="195">
      <c r="A195">
        <v>194</v>
      </c>
      <c r="B195">
        <v>8</v>
      </c>
      <c r="C195" t="str">
        <v xml:space="preserve"> 虽然你忘了， 但是我记得</v>
      </c>
      <c r="D195" t="str">
        <v>丈夫</v>
      </c>
      <c r="E195" t="str">
        <v>Danh từ</v>
      </c>
      <c r="F195" t="str">
        <v>zhàngfu</v>
      </c>
      <c r="G195" t="str">
        <f>IFERROR(__xludf.DUMMYFUNCTION("GOOGLETRANSLATE(D195,""zh"",""vi"")"),"chồng")</f>
        <v>chồng</v>
      </c>
      <c r="H195" t="str">
        <v>1. Con người &amp; Các mối quan hệ</v>
      </c>
    </row>
    <row r="196">
      <c r="A196">
        <v>195</v>
      </c>
      <c r="B196">
        <v>3</v>
      </c>
      <c r="C196" t="str">
        <v>我想去西安旅游</v>
      </c>
      <c r="D196" t="str">
        <v>这么</v>
      </c>
      <c r="E196" t="str">
        <v>Đại từ</v>
      </c>
      <c r="F196" t="str">
        <v>zhème</v>
      </c>
      <c r="G196" t="str">
        <v>Như thế</v>
      </c>
      <c r="H196" t="str">
        <v>15. Công cụ ngữ pháp &amp; Cấu trúc</v>
      </c>
    </row>
    <row r="197">
      <c r="A197">
        <v>196</v>
      </c>
      <c r="B197">
        <v>9</v>
      </c>
      <c r="C197" t="str">
        <v>我去买杯奶茶</v>
      </c>
      <c r="D197" t="str">
        <v>这样</v>
      </c>
      <c r="E197" t="str">
        <v>Đại từ</v>
      </c>
      <c r="F197" t="str">
        <v>zhèyàng</v>
      </c>
      <c r="G197" t="str">
        <f>IFERROR(__xludf.DUMMYFUNCTION("GOOGLETRANSLATE(D197,""zh"",""vi"")"),"Vì thế")</f>
        <v>Vì thế</v>
      </c>
      <c r="H197" t="str">
        <v>15. Công cụ ngữ pháp &amp; Cấu trúc</v>
      </c>
    </row>
    <row r="198">
      <c r="A198">
        <v>197</v>
      </c>
      <c r="B198">
        <v>11</v>
      </c>
      <c r="C198" t="str">
        <v>我最喜欢吃中国菜</v>
      </c>
      <c r="D198" t="str">
        <v>着</v>
      </c>
      <c r="F198" t="str">
        <v>zhe</v>
      </c>
      <c r="G198" t="str">
        <v>dùng giữa động từ và tính từ để diễn tả hành động đang xảy ra</v>
      </c>
      <c r="H198" t="str">
        <v>15. Công cụ ngữ pháp &amp; Cấu trúc</v>
      </c>
    </row>
    <row r="199">
      <c r="A199">
        <v>198</v>
      </c>
      <c r="B199">
        <v>12</v>
      </c>
      <c r="C199" t="str">
        <v xml:space="preserve">  这里比北京冷多了</v>
      </c>
      <c r="D199" t="str">
        <v>正</v>
      </c>
      <c r="E199" t="str">
        <v>Phó từ</v>
      </c>
      <c r="F199" t="str">
        <v>zhèng</v>
      </c>
      <c r="G199" t="str">
        <v>hành động đang xảy ra hoặc chỉ trạng thái tiếp diễn</v>
      </c>
      <c r="H199" t="str">
        <v>15. Công cụ ngữ pháp &amp; Cấu trúc</v>
      </c>
    </row>
    <row r="200">
      <c r="A200">
        <v>199</v>
      </c>
      <c r="B200">
        <v>9</v>
      </c>
      <c r="C200" t="str">
        <v>我去买杯奶茶</v>
      </c>
      <c r="D200" t="str">
        <v>周</v>
      </c>
      <c r="E200" t="str">
        <v>Danh từ</v>
      </c>
      <c r="F200" t="str">
        <v>zhōu</v>
      </c>
      <c r="G200" t="str">
        <f>IFERROR(__xludf.DUMMYFUNCTION("GOOGLETRANSLATE(D200,""zh"",""vi"")"),"tuần")</f>
        <v>tuần</v>
      </c>
      <c r="H200" t="str">
        <v>10. Thời gian</v>
      </c>
    </row>
    <row r="201">
      <c r="A201">
        <v>200</v>
      </c>
      <c r="B201">
        <v>5</v>
      </c>
      <c r="C201" t="str">
        <v>第一次去中国朋友家</v>
      </c>
      <c r="D201" t="str">
        <v>准备</v>
      </c>
      <c r="E201" t="str">
        <v>Động từ</v>
      </c>
      <c r="F201" t="str">
        <v>zhǔnbèi</v>
      </c>
      <c r="G201" t="str">
        <f>IFERROR(__xludf.DUMMYFUNCTION("GOOGLETRANSLATE(D201,""zh"",""vi"")"),"Chuẩn bị")</f>
        <v>Chuẩn bị</v>
      </c>
      <c r="H201" t="str">
        <v>5. Đời sống sinh hoạt</v>
      </c>
    </row>
    <row r="202">
      <c r="A202">
        <v>201</v>
      </c>
      <c r="B202">
        <v>3</v>
      </c>
      <c r="C202" t="str">
        <v>我想去西安旅游</v>
      </c>
      <c r="D202" t="str">
        <v>自己</v>
      </c>
      <c r="E202" t="str">
        <v>Đại từ</v>
      </c>
      <c r="F202" t="str">
        <v>zìjǐ</v>
      </c>
      <c r="G202" t="str">
        <v xml:space="preserve">tự thân </v>
      </c>
      <c r="H202" t="str">
        <v>15. Công cụ ngữ pháp &amp; Cấu trúc</v>
      </c>
    </row>
    <row r="203">
      <c r="A203">
        <v>202</v>
      </c>
      <c r="B203">
        <v>5</v>
      </c>
      <c r="C203" t="str">
        <v>第一次去中国朋友家</v>
      </c>
      <c r="D203" t="str">
        <v>走</v>
      </c>
      <c r="E203" t="str">
        <v>Động từ</v>
      </c>
      <c r="F203" t="str">
        <v>zǒu</v>
      </c>
      <c r="G203" t="str">
        <v>đi bộ, đi</v>
      </c>
      <c r="H203" t="str">
        <v>8. Giao thông &amp; Di chuyển</v>
      </c>
    </row>
    <row r="204">
      <c r="A204">
        <v>203</v>
      </c>
      <c r="B204">
        <v>9</v>
      </c>
      <c r="C204" t="str">
        <v>我去买杯奶茶</v>
      </c>
      <c r="D204" t="str">
        <v>走路</v>
      </c>
      <c r="E204" t="str">
        <v>Động từ</v>
      </c>
      <c r="F204" t="str">
        <v>zǒulù</v>
      </c>
      <c r="G204" t="str">
        <f>IFERROR(__xludf.DUMMYFUNCTION("GOOGLETRANSLATE(D204,""zh"",""vi"")"),"đi bộ")</f>
        <v>đi bộ</v>
      </c>
      <c r="H204" t="str">
        <v>8. Giao thông &amp; Di chuyển</v>
      </c>
    </row>
    <row r="205">
      <c r="A205">
        <v>204</v>
      </c>
      <c r="B205">
        <v>7</v>
      </c>
      <c r="C205" t="str">
        <v xml:space="preserve"> 他篮球打得很好</v>
      </c>
      <c r="D205" t="str">
        <v>足球</v>
      </c>
      <c r="E205" t="str">
        <v>Danh từ</v>
      </c>
      <c r="F205" t="str">
        <v>zúqiú</v>
      </c>
      <c r="G205" t="str">
        <f>IFERROR(__xludf.DUMMYFUNCTION("GOOGLETRANSLATE(D205,""zh"",""vi"")"),"bóng đá")</f>
        <v>bóng đá</v>
      </c>
      <c r="H205" t="str">
        <v>6. Đồ vật &amp; Công cụ</v>
      </c>
    </row>
    <row r="206">
      <c r="A206">
        <v>205</v>
      </c>
      <c r="B206">
        <v>11</v>
      </c>
      <c r="C206" t="str">
        <v>我最喜欢吃中国菜</v>
      </c>
      <c r="D206" t="str">
        <v>最</v>
      </c>
      <c r="E206" t="str">
        <v>Phó từ</v>
      </c>
      <c r="F206" t="str">
        <v>zuì</v>
      </c>
      <c r="G206" t="str">
        <f>IFERROR(__xludf.DUMMYFUNCTION("GOOGLETRANSLATE(D206,""zh"",""vi"")"),"hầu hết")</f>
        <v>hầu hết</v>
      </c>
      <c r="H206" t="str">
        <v>15. Công cụ ngữ pháp &amp; Cấu trúc</v>
      </c>
    </row>
    <row r="207">
      <c r="A207">
        <v>206</v>
      </c>
      <c r="B207">
        <v>8</v>
      </c>
      <c r="C207" t="str">
        <v xml:space="preserve"> 虽然你忘了， 但是我记得</v>
      </c>
      <c r="D207" t="str">
        <v>左</v>
      </c>
      <c r="E207" t="str">
        <v>Danh từ</v>
      </c>
      <c r="F207" t="str">
        <v>zuǒ</v>
      </c>
      <c r="G207" t="str">
        <f>IFERROR(__xludf.DUMMYFUNCTION("GOOGLETRANSLATE(D207,""zh"",""vi"")"),"Bên trái")</f>
        <v>Bên trái</v>
      </c>
      <c r="H207" t="str">
        <v>9. Không gian &amp; Vị trí</v>
      </c>
    </row>
    <row r="208">
      <c r="A208">
        <v>207</v>
      </c>
      <c r="B208" t="str">
        <v>8-</v>
      </c>
      <c r="C208" t="str">
        <v xml:space="preserve"> 虽然你忘了， 但是我记得</v>
      </c>
      <c r="D208" t="str">
        <v>左边</v>
      </c>
      <c r="E208" t="str">
        <v>Danh từ</v>
      </c>
      <c r="F208" t="str">
        <v>zuǒbian</v>
      </c>
      <c r="G208" t="str">
        <f>IFERROR(__xludf.DUMMYFUNCTION("GOOGLETRANSLATE(D208,""zh"",""vi"")"),"bên trái")</f>
        <v>bên trái</v>
      </c>
      <c r="H208" t="str">
        <v>9. Không gian &amp; Vị trí</v>
      </c>
    </row>
    <row r="209">
      <c r="A209">
        <v>208</v>
      </c>
      <c r="B209">
        <v>12</v>
      </c>
      <c r="C209" t="str">
        <v>这里比北京冷多了</v>
      </c>
      <c r="D209" t="str">
        <v>站</v>
      </c>
      <c r="E209" t="str">
        <v>Danh từ</v>
      </c>
      <c r="F209" t="str">
        <v>zhàn</v>
      </c>
      <c r="G209" t="str">
        <v>trạm (xe, tàu)</v>
      </c>
      <c r="H209" t="str">
        <v>7. Địa điểm &amp; Nơi chốn</v>
      </c>
    </row>
    <row r="210">
      <c r="A210">
        <v>209</v>
      </c>
      <c r="D210" t="str">
        <v xml:space="preserve"> 花</v>
      </c>
      <c r="E210" t="str">
        <v>Danh từ, Động từ</v>
      </c>
      <c r="F210" t="str">
        <v xml:space="preserve">  huā </v>
      </c>
      <c r="G210" t="str">
        <v>tiêu, tốn</v>
      </c>
      <c r="H210" t="str">
        <v>5. Đời sống sinh hoạt</v>
      </c>
    </row>
  </sheetData>
  <mergeCells count="2">
    <mergeCell ref="J1:K1"/>
    <mergeCell ref="J2:J7"/>
  </mergeCells>
  <pageMargins left="0.7" right="0.7" top="0.75" bottom="0.75" header="0.3" footer="0.3"/>
  <ignoredErrors>
    <ignoredError numberStoredAsText="1" sqref="A1:Z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06"/>
  <sheetViews>
    <sheetView workbookViewId="0" rightToLeft="0"/>
  </sheetViews>
  <sheetData>
    <row r="1">
      <c r="A1" t="str">
        <v>STT</v>
      </c>
      <c r="B1" t="str">
        <v>Bài</v>
      </c>
      <c r="C1" t="str">
        <v>Tên Bài</v>
      </c>
      <c r="D1" t="str">
        <v>Từ vựng</v>
      </c>
      <c r="E1" t="str">
        <v xml:space="preserve">Từ loại </v>
      </c>
      <c r="F1" t="str">
        <v>Phiên âm</v>
      </c>
      <c r="G1" t="str">
        <v>Nghĩa</v>
      </c>
      <c r="H1" t="str">
        <v>Chủ đề</v>
      </c>
      <c r="I1" t="str">
        <v>Ví dụ</v>
      </c>
      <c r="K1" t="str">
        <v>Ghi chú</v>
      </c>
    </row>
    <row r="2">
      <c r="A2">
        <v>1</v>
      </c>
      <c r="B2">
        <v>18</v>
      </c>
      <c r="C2" t="str">
        <v>我学会了包饺子</v>
      </c>
      <c r="D2" t="str">
        <v>阿姨</v>
      </c>
      <c r="E2" t="str">
        <v>Danh từ</v>
      </c>
      <c r="F2" t="str">
        <v>ā' yí</v>
      </c>
      <c r="G2" t="str">
        <v>Dì</v>
      </c>
      <c r="H2" t="str">
        <v>1. Con người &amp; Các mối quan hệ:</v>
      </c>
      <c r="K2" t="str">
        <v>Chủ đề</v>
      </c>
    </row>
    <row r="3">
      <c r="A3">
        <v>2</v>
      </c>
      <c r="B3">
        <v>7</v>
      </c>
      <c r="C3" t="str">
        <v>那条裙子比短裤更好看</v>
      </c>
      <c r="D3" t="str">
        <v>矮</v>
      </c>
      <c r="E3" t="str">
        <v>Tính từ</v>
      </c>
      <c r="F3" t="str">
        <v xml:space="preserve"> ǎi</v>
      </c>
      <c r="G3" t="str">
        <v>lùn, thấp</v>
      </c>
      <c r="H3" t="str">
        <v>13. Miêu tả &amp; Đánh giá</v>
      </c>
    </row>
    <row r="4">
      <c r="A4">
        <v>3</v>
      </c>
      <c r="B4">
        <v>6</v>
      </c>
      <c r="C4" t="str">
        <v>高铁上还可以点外卖</v>
      </c>
      <c r="D4" t="str">
        <v>安静</v>
      </c>
      <c r="E4" t="str">
        <v>Tính từ</v>
      </c>
      <c r="F4" t="str">
        <v>ānjìng</v>
      </c>
      <c r="G4" t="str">
        <v>yên tĩnh</v>
      </c>
      <c r="H4" t="str">
        <v>13. Miêu tả &amp; Đánh giá</v>
      </c>
    </row>
    <row r="5">
      <c r="A5">
        <v>7</v>
      </c>
      <c r="B5">
        <v>12</v>
      </c>
      <c r="C5" t="str">
        <v>这个季节天气变化很快</v>
      </c>
      <c r="D5" t="str">
        <v>把</v>
      </c>
      <c r="E5" t="str">
        <v>Giới từ</v>
      </c>
      <c r="F5" t="str">
        <v>bǎ</v>
      </c>
      <c r="G5" t="str">
        <v>Dùng để đưa tân ngữ của động từ lên vị trí trước động từ đó.</v>
      </c>
      <c r="H5" t="str">
        <v>15. Công cụ ngữ pháp &amp; Cấu trúc</v>
      </c>
    </row>
    <row r="6">
      <c r="A6">
        <v>8</v>
      </c>
      <c r="B6">
        <v>10</v>
      </c>
      <c r="C6" t="str">
        <v>看来我还没办法解决这个问题</v>
      </c>
      <c r="D6" t="str">
        <v>把</v>
      </c>
      <c r="E6" t="str">
        <v>Lượng từ</v>
      </c>
      <c r="F6" t="str">
        <v>bǎ</v>
      </c>
      <c r="G6" t="str">
        <v>Dùng cho những vật có tay cầm, hoặc những thứ có tư thế hai chân dang ra, v.v.</v>
      </c>
      <c r="H6" t="str">
        <v>15. Công cụ ngữ pháp &amp; Cấu trúc</v>
      </c>
    </row>
    <row r="7">
      <c r="A7">
        <v>9</v>
      </c>
      <c r="B7">
        <v>10</v>
      </c>
      <c r="C7" t="str">
        <v>你明天再把书环给我</v>
      </c>
      <c r="D7" t="str">
        <v>办</v>
      </c>
      <c r="E7" t="str">
        <v>Động từ</v>
      </c>
      <c r="F7" t="str">
        <v>bàn</v>
      </c>
      <c r="G7" t="str">
        <f>IFERROR(__xludf.DUMMYFUNCTION("GOOGLETRANSLATE(D7,""zh"",""vi"")"),"quản lý")</f>
        <v>quản lý</v>
      </c>
      <c r="H7" t="str">
        <v>5. Đời sống sinh hoạt</v>
      </c>
    </row>
    <row r="8">
      <c r="A8">
        <v>10</v>
      </c>
      <c r="B8">
        <v>1</v>
      </c>
      <c r="C8" t="str">
        <v>我们去机场接你们</v>
      </c>
      <c r="D8" t="str">
        <v>搬</v>
      </c>
      <c r="E8" t="str">
        <v>Động từ</v>
      </c>
      <c r="F8" t="str">
        <v>bān</v>
      </c>
      <c r="G8" t="str">
        <f>IFERROR(__xludf.DUMMYFUNCTION("GOOGLETRANSLATE(D8,""zh"",""vi"")"),"di chuyển")</f>
        <v>di chuyển</v>
      </c>
      <c r="H8" t="str">
        <v>5. Đời sống sinh hoạt</v>
      </c>
    </row>
    <row r="9">
      <c r="A9">
        <v>11</v>
      </c>
      <c r="B9">
        <v>14</v>
      </c>
      <c r="C9" t="str">
        <v>这本书被别人借走了</v>
      </c>
      <c r="D9" t="str">
        <v>办法</v>
      </c>
      <c r="E9" t="str">
        <v>Danh từ</v>
      </c>
      <c r="F9" t="str">
        <v>bànfǎ</v>
      </c>
      <c r="G9" t="str">
        <f>IFERROR(__xludf.DUMMYFUNCTION("GOOGLETRANSLATE(D9,""zh"",""vi"")"),"đường")</f>
        <v>đường</v>
      </c>
      <c r="H9" t="str">
        <v>8. Giao thông &amp; Di chuyển</v>
      </c>
    </row>
    <row r="10">
      <c r="A10">
        <v>12</v>
      </c>
      <c r="B10">
        <v>3</v>
      </c>
      <c r="C10" t="str">
        <v>这个小区挺好的</v>
      </c>
      <c r="D10" t="str">
        <v>办公室</v>
      </c>
      <c r="E10" t="str">
        <v>Danh từ</v>
      </c>
      <c r="F10" t="str">
        <v>bàngōngshì</v>
      </c>
      <c r="G10" t="str">
        <f>IFERROR(__xludf.DUMMYFUNCTION("GOOGLETRANSLATE(D10,""zh"",""vi"")"),"văn phòng")</f>
        <v>văn phòng</v>
      </c>
      <c r="H10" t="str">
        <v>5. Đời sống sinh hoạt</v>
      </c>
    </row>
    <row r="11">
      <c r="A11">
        <v>13</v>
      </c>
      <c r="B11">
        <v>16</v>
      </c>
      <c r="C11" t="str">
        <v>我听说有的熊猫出国了</v>
      </c>
      <c r="D11" t="str">
        <v>帮助</v>
      </c>
      <c r="E11" t="str">
        <v>Động từ</v>
      </c>
      <c r="F11" t="str">
        <v>bāngzhù</v>
      </c>
      <c r="G11" t="str">
        <f>IFERROR(__xludf.DUMMYFUNCTION("GOOGLETRANSLATE(D11,""zh"",""vi"")"),"giúp đỡ")</f>
        <v>giúp đỡ</v>
      </c>
      <c r="H11" t="str">
        <v>5. Đời sống sinh hoạt</v>
      </c>
    </row>
    <row r="12">
      <c r="A12">
        <v>14</v>
      </c>
      <c r="B12">
        <v>16</v>
      </c>
      <c r="C12" t="str">
        <v>我听说有的熊猫出国了</v>
      </c>
      <c r="D12" t="str">
        <v>班级</v>
      </c>
      <c r="E12" t="str">
        <v>Danh từ</v>
      </c>
      <c r="F12" t="str">
        <v>bānjí</v>
      </c>
      <c r="G12" t="str">
        <f>IFERROR(__xludf.DUMMYFUNCTION("GOOGLETRANSLATE(D12,""zh"",""vi"")"),"lớp học")</f>
        <v>lớp học</v>
      </c>
      <c r="H12" t="str">
        <v>1. Con người &amp; Các mối quan hệ</v>
      </c>
    </row>
    <row r="13">
      <c r="A13">
        <v>15</v>
      </c>
      <c r="B13">
        <v>14</v>
      </c>
      <c r="C13" t="str">
        <v>这本书被别人借走了</v>
      </c>
      <c r="D13" t="str">
        <v>搬家</v>
      </c>
      <c r="E13" t="str">
        <v>Động từ</v>
      </c>
      <c r="F13" t="str">
        <v>bānjiā</v>
      </c>
      <c r="G13" t="str">
        <f>IFERROR(__xludf.DUMMYFUNCTION("GOOGLETRANSLATE(D13,""zh"",""vi"")"),"di chuyển đến nơi")</f>
        <v>di chuyển đến nơi</v>
      </c>
      <c r="H13" t="str">
        <v>8. Giao thông &amp; Di chuyển</v>
      </c>
    </row>
    <row r="14">
      <c r="A14">
        <v>16</v>
      </c>
      <c r="B14">
        <v>14</v>
      </c>
      <c r="C14" t="str">
        <v>这本书被别人借走了</v>
      </c>
      <c r="D14" t="str">
        <v>半天</v>
      </c>
      <c r="E14" t="str">
        <v>Số từ</v>
      </c>
      <c r="F14" t="str">
        <v>bàntiān</v>
      </c>
      <c r="G14" t="str">
        <f>IFERROR(__xludf.DUMMYFUNCTION("GOOGLETRANSLATE(D14,""zh"",""vi"")"),"lâu rồi")</f>
        <v>lâu rồi</v>
      </c>
      <c r="H14" t="str">
        <v>5. Đời sống sinh hoạt</v>
      </c>
    </row>
    <row r="15">
      <c r="A15">
        <v>17</v>
      </c>
      <c r="B15">
        <v>16</v>
      </c>
      <c r="C15" t="str">
        <v>我听说有的熊猫出国了</v>
      </c>
      <c r="D15" t="str">
        <v>饱</v>
      </c>
      <c r="E15" t="str">
        <v>Tính từ</v>
      </c>
      <c r="F15" t="str">
        <v>bǎo</v>
      </c>
      <c r="G15" t="str">
        <f>IFERROR(__xludf.DUMMYFUNCTION("GOOGLETRANSLATE(D15,""zh"",""vi"")"),"đầy")</f>
        <v>đầy</v>
      </c>
      <c r="H15" t="str">
        <v>14. Số lượng &amp; Đo lường</v>
      </c>
    </row>
    <row r="16">
      <c r="A16">
        <v>18</v>
      </c>
      <c r="B16">
        <v>13</v>
      </c>
      <c r="C16" t="str">
        <v>我的邻居来自英国</v>
      </c>
      <c r="D16" t="str">
        <v>报纸</v>
      </c>
      <c r="E16" t="str">
        <v>Danh từ</v>
      </c>
      <c r="F16" t="str">
        <v>bàozhǐ</v>
      </c>
      <c r="G16" t="str">
        <f>IFERROR(__xludf.DUMMYFUNCTION("GOOGLETRANSLATE(D16,""zh"",""vi"")"),"báo")</f>
        <v>báo</v>
      </c>
      <c r="H16" t="str">
        <v>5. Đời sống sinh hoạt</v>
      </c>
    </row>
    <row r="17">
      <c r="A17">
        <v>19</v>
      </c>
      <c r="B17">
        <v>12</v>
      </c>
      <c r="C17" t="str">
        <v>这个季节天气变化很快</v>
      </c>
      <c r="D17" t="str">
        <v>被</v>
      </c>
      <c r="E17" t="str">
        <v>Giới từ</v>
      </c>
      <c r="F17" t="str">
        <v>bèi</v>
      </c>
      <c r="G17" t="str">
        <v>bị, được</v>
      </c>
      <c r="H17" t="str">
        <v>15. Công cụ ngữ pháp &amp; Cấu trúc</v>
      </c>
    </row>
    <row r="18">
      <c r="A18">
        <v>20</v>
      </c>
      <c r="B18">
        <v>12</v>
      </c>
      <c r="C18" t="str">
        <v>这个季节天气变化很快</v>
      </c>
      <c r="D18" t="str">
        <v>北</v>
      </c>
      <c r="E18" t="str">
        <v>Danh từ</v>
      </c>
      <c r="F18" t="str">
        <v>běi</v>
      </c>
      <c r="G18" t="str">
        <f>IFERROR(__xludf.DUMMYFUNCTION("GOOGLETRANSLATE(D18,""zh"",""vi"")"),"phía bắc")</f>
        <v>phía bắc</v>
      </c>
      <c r="H18" t="str">
        <v>6. Đồ vật &amp; Công cụ</v>
      </c>
    </row>
    <row r="19">
      <c r="A19">
        <v>21</v>
      </c>
      <c r="B19">
        <v>13</v>
      </c>
      <c r="C19" t="str">
        <v>我的邻居来自英国</v>
      </c>
      <c r="D19" t="str">
        <v>北方</v>
      </c>
      <c r="E19" t="str">
        <v>Danh từ</v>
      </c>
      <c r="F19" t="str">
        <v>běifāng</v>
      </c>
      <c r="G19" t="str">
        <f>IFERROR(__xludf.DUMMYFUNCTION("GOOGLETRANSLATE(D19,""zh"",""vi"")"),"phía bắc")</f>
        <v>phía bắc</v>
      </c>
      <c r="H19" t="str">
        <v>6. Đồ vật &amp; Công cụ</v>
      </c>
    </row>
    <row r="20">
      <c r="A20">
        <v>22</v>
      </c>
      <c r="B20">
        <v>12</v>
      </c>
      <c r="C20" t="str">
        <v>这个季节天气变化很快</v>
      </c>
      <c r="D20" t="str">
        <v>变成</v>
      </c>
      <c r="E20" t="str">
        <v>Động từ</v>
      </c>
      <c r="F20" t="str">
        <v>biàn</v>
      </c>
      <c r="G20" t="str">
        <f>IFERROR(__xludf.DUMMYFUNCTION("GOOGLETRANSLATE(D20,""zh"",""vi"")"),"trở nên")</f>
        <v>trở nên</v>
      </c>
      <c r="H20" t="str">
        <v>5. Đời sống sinh hoạt</v>
      </c>
    </row>
    <row r="21">
      <c r="A21">
        <v>23</v>
      </c>
      <c r="B21">
        <v>12</v>
      </c>
      <c r="C21" t="str">
        <v>这个季节天气变化很快</v>
      </c>
      <c r="D21" t="str">
        <v>变化</v>
      </c>
      <c r="E21" t="str">
        <v>Danh từ, Động từ</v>
      </c>
      <c r="F21" t="str">
        <v>biànhuà</v>
      </c>
      <c r="G21" t="str">
        <f>IFERROR(__xludf.DUMMYFUNCTION("GOOGLETRANSLATE(D21,""zh"",""vi"")"),"thay đổi")</f>
        <v>thay đổi</v>
      </c>
      <c r="H21" t="str">
        <v>5. Đời sống sinh hoạt</v>
      </c>
    </row>
    <row r="22">
      <c r="A22">
        <v>24</v>
      </c>
      <c r="B22">
        <v>14</v>
      </c>
      <c r="C22" t="str">
        <v>这本书被别人借走了</v>
      </c>
      <c r="D22" t="str">
        <v>表演</v>
      </c>
      <c r="E22" t="str">
        <v>Động từ</v>
      </c>
      <c r="F22" t="str">
        <v>biǎoyǎn</v>
      </c>
      <c r="G22" t="str">
        <v>biểu diễn</v>
      </c>
      <c r="H22" t="str">
        <v>5. Đời sống sinh hoạt</v>
      </c>
    </row>
    <row r="23">
      <c r="A23">
        <v>25</v>
      </c>
      <c r="B23">
        <v>11</v>
      </c>
      <c r="C23" t="str">
        <v>看来我没办法解决这个问题</v>
      </c>
      <c r="D23" t="str">
        <v>别人</v>
      </c>
      <c r="E23" t="str">
        <v>Đại từ</v>
      </c>
      <c r="F23" t="str">
        <v>biérén</v>
      </c>
      <c r="G23" t="str">
        <f>IFERROR(__xludf.DUMMYFUNCTION("GOOGLETRANSLATE(D23,""zh"",""vi"")"),"những người khác")</f>
        <v>những người khác</v>
      </c>
      <c r="H23" t="str">
        <v>15. Công cụ ngữ pháp &amp; Cấu trúc</v>
      </c>
    </row>
    <row r="24">
      <c r="A24">
        <v>26</v>
      </c>
      <c r="B24">
        <v>10</v>
      </c>
      <c r="C24" t="str">
        <v>你明天再把书还给我</v>
      </c>
      <c r="D24" t="str">
        <v>笔记</v>
      </c>
      <c r="E24" t="str">
        <v>Danh từ</v>
      </c>
      <c r="F24" t="str">
        <v>bǐjì</v>
      </c>
      <c r="G24" t="str">
        <f>IFERROR(__xludf.DUMMYFUNCTION("GOOGLETRANSLATE(D24,""zh"",""vi"")"),"ghi chú")</f>
        <v>ghi chú</v>
      </c>
      <c r="H24" t="str">
        <v>1. Con người &amp; Các mối quan hệ</v>
      </c>
    </row>
    <row r="25">
      <c r="A25">
        <v>27</v>
      </c>
      <c r="B25">
        <v>5</v>
      </c>
      <c r="C25" t="str">
        <v>这样的照片才好看</v>
      </c>
      <c r="D25" t="str">
        <v>比较</v>
      </c>
      <c r="E25" t="str">
        <v>Động từ, Giới từ, Phó từ</v>
      </c>
      <c r="F25" t="str">
        <v>bǐjiào</v>
      </c>
      <c r="G25" t="str">
        <f>IFERROR(__xludf.DUMMYFUNCTION("GOOGLETRANSLATE(D25,""zh"",""vi"")"),"So sánh")</f>
        <v>So sánh</v>
      </c>
      <c r="H25" t="str">
        <v>15. Công cụ ngữ pháp &amp; Cấu trúc</v>
      </c>
    </row>
    <row r="26">
      <c r="A26">
        <v>28</v>
      </c>
      <c r="B26">
        <v>11</v>
      </c>
      <c r="C26" t="str">
        <v>看来我还没办法解决这个问题</v>
      </c>
      <c r="D26" t="str">
        <v>笔记本</v>
      </c>
      <c r="E26" t="str">
        <v>Danh từ</v>
      </c>
      <c r="F26" t="str">
        <v>bǐjìběn</v>
      </c>
      <c r="G26" t="str">
        <f>IFERROR(__xludf.DUMMYFUNCTION("GOOGLETRANSLATE(D26,""zh"",""vi"")"),"sổ tay")</f>
        <v>sổ tay</v>
      </c>
      <c r="H26" t="str">
        <v>6. Đồ vật &amp; Công cụ</v>
      </c>
    </row>
    <row r="27">
      <c r="A27">
        <v>29</v>
      </c>
      <c r="B27">
        <v>7</v>
      </c>
      <c r="C27" t="str">
        <v>那条裙子比短裤更好看</v>
      </c>
      <c r="D27" t="str">
        <v>冰</v>
      </c>
      <c r="E27" t="str">
        <v>Danh từ</v>
      </c>
      <c r="F27" t="str">
        <v>bīng</v>
      </c>
      <c r="G27" t="str">
        <f>IFERROR(__xludf.DUMMYFUNCTION("GOOGLETRANSLATE(D27,""zh"",""vi"")"),"đá")</f>
        <v>đá</v>
      </c>
      <c r="H27" t="str">
        <v>6. Đồ vật &amp; Công cụ</v>
      </c>
    </row>
    <row r="28">
      <c r="A28">
        <v>30</v>
      </c>
      <c r="B28">
        <v>8</v>
      </c>
      <c r="C28" t="str">
        <v>今天我出院了</v>
      </c>
      <c r="D28" t="str">
        <v>病人</v>
      </c>
      <c r="E28" t="str">
        <v>Danh từ</v>
      </c>
      <c r="F28" t="str">
        <v>bìngrén</v>
      </c>
      <c r="G28" t="str">
        <v>bệnh nhân</v>
      </c>
      <c r="H28" t="str">
        <v>2. Cơ thể &amp; Sức khỏe</v>
      </c>
    </row>
    <row r="29">
      <c r="A29">
        <v>31</v>
      </c>
      <c r="B29">
        <v>4</v>
      </c>
      <c r="C29" t="str">
        <v>这家宾馆跟别的都不一样</v>
      </c>
      <c r="D29" t="str">
        <v>宾馆</v>
      </c>
      <c r="E29" t="str">
        <v>Danh từ</v>
      </c>
      <c r="F29" t="str">
        <v>bīnguǎn</v>
      </c>
      <c r="G29" t="str">
        <f>IFERROR(__xludf.DUMMYFUNCTION("GOOGLETRANSLATE(D29,""zh"",""vi"")"),"Khách sạn")</f>
        <v>Khách sạn</v>
      </c>
      <c r="H29" t="str">
        <v>7. Địa điểm &amp; Nơi chốn</v>
      </c>
    </row>
    <row r="30">
      <c r="A30">
        <v>32</v>
      </c>
      <c r="B30">
        <v>3</v>
      </c>
      <c r="C30" t="str">
        <v>这个小区挺好的</v>
      </c>
      <c r="D30" t="str">
        <v>冰箱</v>
      </c>
      <c r="E30" t="str">
        <v>Danh từ</v>
      </c>
      <c r="F30" t="str">
        <v>bīngxiāng</v>
      </c>
      <c r="G30" t="str">
        <f>IFERROR(__xludf.DUMMYFUNCTION("GOOGLETRANSLATE(D30,""zh"",""vi"")"),"tủ lạnh")</f>
        <v>tủ lạnh</v>
      </c>
      <c r="H30" t="str">
        <v>13. Miêu tả &amp; Đánh giá</v>
      </c>
    </row>
    <row r="31">
      <c r="A31">
        <v>33</v>
      </c>
      <c r="B31">
        <v>17</v>
      </c>
      <c r="C31" t="str">
        <v>我要多向认真的人学习</v>
      </c>
      <c r="D31" t="str">
        <v>比如</v>
      </c>
      <c r="E31" t="str">
        <v>Động từ</v>
      </c>
      <c r="F31" t="str">
        <v>bǐrú</v>
      </c>
      <c r="G31" t="str">
        <f>IFERROR(__xludf.DUMMYFUNCTION("GOOGLETRANSLATE(D31,""zh"",""vi"")"),"Ví dụ")</f>
        <v>Ví dụ</v>
      </c>
      <c r="H31" t="str">
        <v>5. Đời sống sinh hoạt</v>
      </c>
    </row>
    <row r="32">
      <c r="A32">
        <v>34</v>
      </c>
      <c r="B32">
        <v>9</v>
      </c>
      <c r="C32" t="str">
        <v>打不好没有关系</v>
      </c>
      <c r="D32" t="str">
        <v>比赛</v>
      </c>
      <c r="E32" t="str">
        <v>Danh từ</v>
      </c>
      <c r="F32" t="str">
        <v>bǐsài</v>
      </c>
      <c r="G32" t="str">
        <f>IFERROR(__xludf.DUMMYFUNCTION("GOOGLETRANSLATE(D32,""zh"",""vi"")"),"Cuộc thi")</f>
        <v>Cuộc thi</v>
      </c>
      <c r="H32" t="str">
        <v>6. Đồ vật &amp; Công cụ</v>
      </c>
    </row>
    <row r="33">
      <c r="A33">
        <v>35</v>
      </c>
      <c r="B33">
        <v>6</v>
      </c>
      <c r="C33" t="str">
        <v>高铁上还可以点外卖</v>
      </c>
      <c r="D33" t="str">
        <v>必须</v>
      </c>
      <c r="E33" t="str">
        <v>Phó từ</v>
      </c>
      <c r="F33" t="str">
        <v>bìxū</v>
      </c>
      <c r="G33" t="str">
        <f>IFERROR(__xludf.DUMMYFUNCTION("GOOGLETRANSLATE(D33,""zh"",""vi"")"),"phải")</f>
        <v>phải</v>
      </c>
      <c r="H33" t="str">
        <v>15. Công cụ ngữ pháp &amp; Cấu trúc</v>
      </c>
    </row>
    <row r="34">
      <c r="A34">
        <v>36</v>
      </c>
      <c r="B34">
        <v>13</v>
      </c>
      <c r="C34" t="str">
        <v>我的邻居来自英国</v>
      </c>
      <c r="D34" t="str">
        <v>不同</v>
      </c>
      <c r="F34" t="str">
        <v>bùtóng</v>
      </c>
      <c r="G34" t="str">
        <f>IFERROR(__xludf.DUMMYFUNCTION("GOOGLETRANSLATE(D34,""zh"",""vi"")"),"khác biệt")</f>
        <v>khác biệt</v>
      </c>
      <c r="H34" t="str">
        <v>13. Miêu tả &amp; Đánh giá, 15. Công cụ ngữ pháp &amp; Cấu trúc</v>
      </c>
    </row>
    <row r="35">
      <c r="A35">
        <v>37</v>
      </c>
      <c r="B35">
        <v>7</v>
      </c>
      <c r="C35" t="str">
        <v>那条裙子比短裤更好看</v>
      </c>
      <c r="D35" t="str">
        <v>不但</v>
      </c>
      <c r="E35" t="str">
        <v>Liên từ</v>
      </c>
      <c r="F35" t="str">
        <v>bùdàn</v>
      </c>
      <c r="G35" t="str">
        <f>IFERROR(__xludf.DUMMYFUNCTION("GOOGLETRANSLATE(D35,""zh"",""vi"")"),"Không chỉ")</f>
        <v>Không chỉ</v>
      </c>
      <c r="H35" t="str">
        <v>15. Công cụ ngữ pháp &amp; Cấu trúc</v>
      </c>
    </row>
    <row r="36">
      <c r="A36">
        <v>39</v>
      </c>
      <c r="B36">
        <v>18</v>
      </c>
      <c r="C36" t="str">
        <v>我学会了包饺子</v>
      </c>
      <c r="D36" t="str">
        <v>不久</v>
      </c>
      <c r="E36" t="str">
        <v>Tính từ</v>
      </c>
      <c r="F36" t="str">
        <v>bùjiǔ</v>
      </c>
      <c r="G36" t="str">
        <f>IFERROR(__xludf.DUMMYFUNCTION("GOOGLETRANSLATE(D36,""zh"",""vi"")"),"sớm")</f>
        <v>sớm</v>
      </c>
      <c r="H36" t="str">
        <v>13. Miêu tả &amp; Đánh giá</v>
      </c>
    </row>
    <row r="37">
      <c r="A37">
        <v>40</v>
      </c>
      <c r="B37">
        <v>3</v>
      </c>
      <c r="C37" t="str">
        <v>这个小区挺好的</v>
      </c>
      <c r="D37" t="str">
        <v>才</v>
      </c>
      <c r="E37" t="str">
        <v>Phó từ</v>
      </c>
      <c r="F37" t="str">
        <v>cái</v>
      </c>
      <c r="G37" t="str">
        <v>mới, vừa mới</v>
      </c>
      <c r="H37" t="str">
        <v>15. Công cụ ngữ pháp &amp; Cấu trúc</v>
      </c>
    </row>
    <row r="38">
      <c r="A38">
        <v>41</v>
      </c>
      <c r="B38">
        <v>2</v>
      </c>
      <c r="C38" t="str">
        <v>你们想吃什么就点什么</v>
      </c>
      <c r="D38" t="str">
        <v>菜单</v>
      </c>
      <c r="E38" t="str">
        <v>Danh từ</v>
      </c>
      <c r="F38" t="str">
        <v>càidān</v>
      </c>
      <c r="G38" t="str">
        <v>thực đơn</v>
      </c>
      <c r="H38" t="str">
        <v>6. Đồ vật &amp; Công cụ</v>
      </c>
    </row>
    <row r="39">
      <c r="A39">
        <v>42</v>
      </c>
      <c r="B39">
        <v>9</v>
      </c>
      <c r="C39" t="str">
        <v>打不好没有关系</v>
      </c>
      <c r="D39" t="str">
        <v>参加</v>
      </c>
      <c r="E39" t="str">
        <v>Động từ</v>
      </c>
      <c r="F39" t="str">
        <v>cānjiā</v>
      </c>
      <c r="G39" t="str">
        <v>tham gia</v>
      </c>
      <c r="H39" t="str">
        <v>5. Đời sống sinh hoạt</v>
      </c>
    </row>
    <row r="40">
      <c r="A40">
        <v>43</v>
      </c>
      <c r="B40">
        <v>15</v>
      </c>
      <c r="C40" t="str">
        <v>我是半个南京人</v>
      </c>
      <c r="D40" t="str">
        <v>草地</v>
      </c>
      <c r="E40" t="str">
        <v>Danh từ</v>
      </c>
      <c r="F40" t="str">
        <v>cǎodì</v>
      </c>
      <c r="G40" t="str">
        <v>bãi cỏ</v>
      </c>
      <c r="H40" t="str">
        <v>6. Đồ vật &amp; Công cụ</v>
      </c>
    </row>
    <row r="41">
      <c r="A41">
        <v>44</v>
      </c>
      <c r="B41">
        <v>4</v>
      </c>
      <c r="C41" t="str">
        <v>这家宾馆跟别的都不一样</v>
      </c>
      <c r="D41" t="str">
        <v>草原</v>
      </c>
      <c r="E41" t="str">
        <v>Danh từ</v>
      </c>
      <c r="F41" t="str">
        <v>cǎoyuán</v>
      </c>
      <c r="G41" t="str">
        <v>đồng cỏ, thảo nguyên</v>
      </c>
      <c r="H41" t="str">
        <v>6. Đồ vật &amp; Công cụ</v>
      </c>
    </row>
    <row r="42">
      <c r="A42">
        <v>45</v>
      </c>
      <c r="B42">
        <v>3</v>
      </c>
      <c r="C42" t="str">
        <v>这个小区挺好的</v>
      </c>
      <c r="D42" t="str">
        <v>层</v>
      </c>
      <c r="E42" t="str">
        <v>Danh từ</v>
      </c>
      <c r="F42" t="str">
        <v>céng</v>
      </c>
      <c r="G42" t="str">
        <v>tầng, lớp</v>
      </c>
      <c r="H42" t="str">
        <v>6. Đồ vật &amp; Công cụ</v>
      </c>
    </row>
    <row r="43">
      <c r="A43">
        <v>46</v>
      </c>
      <c r="B43">
        <v>17</v>
      </c>
      <c r="C43" t="str">
        <v>我要多向认真的人学习</v>
      </c>
      <c r="D43" t="str">
        <v>查</v>
      </c>
      <c r="E43" t="str">
        <v>Động từ</v>
      </c>
      <c r="F43" t="str">
        <v>chá</v>
      </c>
      <c r="G43" t="str">
        <v>kiểm tra, tra cứu</v>
      </c>
      <c r="H43" t="str">
        <v>4. Tư duy &amp; Nhận thức</v>
      </c>
    </row>
    <row r="44">
      <c r="A44">
        <v>47</v>
      </c>
      <c r="B44">
        <v>10</v>
      </c>
      <c r="C44" t="str">
        <v>你明天再把书还给我</v>
      </c>
      <c r="D44" t="str">
        <v>差</v>
      </c>
      <c r="E44" t="str">
        <v>Tính từ, Động từ</v>
      </c>
      <c r="F44" t="str">
        <v>chà</v>
      </c>
      <c r="G44" t="str">
        <v>kém, sai lệch</v>
      </c>
      <c r="H44" t="str">
        <v>5. Đời sống sinh hoạt</v>
      </c>
    </row>
    <row r="45">
      <c r="A45">
        <v>48</v>
      </c>
      <c r="B45">
        <v>8</v>
      </c>
      <c r="C45" t="str">
        <v>今天我出院了</v>
      </c>
      <c r="D45" t="str">
        <v>差不多</v>
      </c>
      <c r="E45" t="str">
        <v>Tính từ, Phó từ</v>
      </c>
      <c r="F45" t="str">
        <v>chàbuduō</v>
      </c>
      <c r="G45" t="str">
        <v>gần như, xấp xỉ</v>
      </c>
      <c r="H45" t="str">
        <v>15. Công cụ ngữ pháp &amp; Cấu trúc</v>
      </c>
    </row>
    <row r="46">
      <c r="A46">
        <v>49</v>
      </c>
      <c r="B46">
        <v>2</v>
      </c>
      <c r="C46" t="str">
        <v>你们想吃什么就点什么</v>
      </c>
      <c r="D46" t="str">
        <v>尝</v>
      </c>
      <c r="E46" t="str">
        <v>Động từ</v>
      </c>
      <c r="F46" t="str">
        <v>cháng</v>
      </c>
      <c r="G46" t="str">
        <v>nếm</v>
      </c>
      <c r="H46" t="str">
        <v>5. Đời sống sinh hoạt</v>
      </c>
    </row>
    <row r="47">
      <c r="A47">
        <v>50</v>
      </c>
      <c r="B47">
        <v>8</v>
      </c>
      <c r="C47" t="str">
        <v>今天我出院了</v>
      </c>
      <c r="D47" t="str">
        <v>常</v>
      </c>
      <c r="E47" t="str">
        <v>Phó từ</v>
      </c>
      <c r="F47" t="str">
        <v>cháng</v>
      </c>
      <c r="G47" t="str">
        <v>thường</v>
      </c>
      <c r="H47" t="str">
        <v>15. Công cụ ngữ pháp &amp; Cấu trúc</v>
      </c>
    </row>
    <row r="48">
      <c r="A48">
        <v>51</v>
      </c>
      <c r="B48">
        <v>12</v>
      </c>
      <c r="C48" t="str">
        <v>这个季节天气变化很快</v>
      </c>
      <c r="D48" t="str">
        <v>常常</v>
      </c>
      <c r="E48" t="str">
        <v>Phó từ</v>
      </c>
      <c r="F48" t="str">
        <v>chángcháng</v>
      </c>
      <c r="G48" t="str">
        <v>thường thường</v>
      </c>
      <c r="H48" t="str">
        <v>15. Công cụ ngữ pháp &amp; Cấu trúc</v>
      </c>
    </row>
    <row r="49">
      <c r="A49">
        <v>52</v>
      </c>
      <c r="B49">
        <v>17</v>
      </c>
      <c r="C49" t="str">
        <v>我要多向认真的人学习</v>
      </c>
      <c r="D49" t="str">
        <v>常见</v>
      </c>
      <c r="F49" t="str">
        <v>cháng jiàn</v>
      </c>
      <c r="G49" t="str">
        <v>thường thấy, phổ biến</v>
      </c>
      <c r="H49" t="str">
        <v>5. Đời sống sinh hoạt</v>
      </c>
    </row>
    <row r="50">
      <c r="A50">
        <v>53</v>
      </c>
      <c r="B50">
        <v>6</v>
      </c>
      <c r="C50" t="str">
        <v>高铁上还可以点外卖</v>
      </c>
      <c r="D50" t="str">
        <v>常用</v>
      </c>
      <c r="F50" t="str">
        <v>cháng yòng</v>
      </c>
      <c r="G50" t="str">
        <v>thường dùng</v>
      </c>
      <c r="H50" t="str">
        <v>5. Đời sống sinh hoạt</v>
      </c>
    </row>
    <row r="51">
      <c r="A51">
        <v>54</v>
      </c>
      <c r="B51">
        <v>9</v>
      </c>
      <c r="C51" t="str">
        <v>打不好没有关系</v>
      </c>
      <c r="D51" t="str">
        <v>成绩</v>
      </c>
      <c r="E51" t="str">
        <v>Danh từ</v>
      </c>
      <c r="F51" t="str">
        <v>chéngjì</v>
      </c>
      <c r="G51" t="str">
        <v>thành tích, điểm số</v>
      </c>
      <c r="H51" t="str">
        <v>8. Giao thông &amp; Di chuyển</v>
      </c>
    </row>
    <row r="52">
      <c r="A52">
        <v>55</v>
      </c>
      <c r="B52">
        <v>11</v>
      </c>
      <c r="C52" t="str">
        <v>看来我还没办法解决这个问题</v>
      </c>
      <c r="D52" t="str">
        <v>城市</v>
      </c>
      <c r="E52" t="str">
        <v>Danh từ</v>
      </c>
      <c r="F52" t="str">
        <v>chéngshì</v>
      </c>
      <c r="G52" t="str">
        <v>thành phố</v>
      </c>
      <c r="H52" t="str">
        <v>7. Địa điểm &amp; Nơi chốn</v>
      </c>
    </row>
    <row r="53">
      <c r="A53">
        <v>56</v>
      </c>
      <c r="B53">
        <v>6</v>
      </c>
      <c r="C53" t="str">
        <v>高铁上还可以点外卖</v>
      </c>
      <c r="D53" t="str">
        <v>迟到</v>
      </c>
      <c r="E53" t="str">
        <v>Động từ</v>
      </c>
      <c r="F53" t="str">
        <v>chídào</v>
      </c>
      <c r="G53" t="str">
        <v>đến muộn</v>
      </c>
      <c r="H53" t="str">
        <v>8. Giao thông &amp; Di chuyển</v>
      </c>
    </row>
    <row r="54">
      <c r="A54">
        <v>57</v>
      </c>
      <c r="B54">
        <v>6</v>
      </c>
      <c r="C54" t="str">
        <v>高铁上还可以点外卖</v>
      </c>
      <c r="D54" t="str">
        <v>充电宝</v>
      </c>
      <c r="E54" t="str">
        <v>Danh từ</v>
      </c>
      <c r="F54" t="str">
        <v>chōngdiànbǎo</v>
      </c>
      <c r="G54" t="str">
        <v>sạc dự phòng</v>
      </c>
      <c r="H54" t="str">
        <v>7. Địa điểm &amp; Nơi chốn</v>
      </c>
    </row>
    <row r="55">
      <c r="A55">
        <v>58</v>
      </c>
      <c r="B55">
        <v>18</v>
      </c>
      <c r="C55" t="str">
        <v>我学会了包饺子</v>
      </c>
      <c r="D55" t="str">
        <v>出发</v>
      </c>
      <c r="E55" t="str">
        <v>Động từ</v>
      </c>
      <c r="F55" t="str">
        <v>chūfā</v>
      </c>
      <c r="G55" t="str">
        <v>xuất phát</v>
      </c>
      <c r="H55" t="str">
        <v>5. Đời sống sinh hoạt</v>
      </c>
    </row>
    <row r="56">
      <c r="A56">
        <v>59</v>
      </c>
      <c r="B56">
        <v>18</v>
      </c>
      <c r="C56" t="str">
        <v>我学会了包饺子</v>
      </c>
      <c r="D56" t="str">
        <v>出生</v>
      </c>
      <c r="E56" t="str">
        <v>Động từ</v>
      </c>
      <c r="F56" t="str">
        <v>chūshēng</v>
      </c>
      <c r="G56" t="str">
        <v>sinh ra</v>
      </c>
      <c r="H56" t="str">
        <v>5. Đời sống sinh hoạt</v>
      </c>
    </row>
    <row r="57">
      <c r="A57">
        <v>60</v>
      </c>
      <c r="B57">
        <v>8</v>
      </c>
      <c r="C57" t="str">
        <v>今天我出院了</v>
      </c>
      <c r="D57" t="str">
        <v>出院</v>
      </c>
      <c r="E57" t="str">
        <v>Động từ</v>
      </c>
      <c r="F57" t="str">
        <v>chūyuàn</v>
      </c>
      <c r="G57" t="str">
        <v>xuất viện</v>
      </c>
      <c r="H57" t="str">
        <v>6. Đồ vật &amp; Công cụ</v>
      </c>
    </row>
    <row r="58">
      <c r="A58">
        <v>61</v>
      </c>
      <c r="B58">
        <v>3</v>
      </c>
      <c r="C58" t="str">
        <v>这个小区挺好的</v>
      </c>
      <c r="D58" t="str">
        <v>初中</v>
      </c>
      <c r="E58" t="str">
        <v>Danh từ</v>
      </c>
      <c r="F58" t="str">
        <v>chūzhōng</v>
      </c>
      <c r="G58" t="str">
        <v>trung học cơ sở</v>
      </c>
      <c r="H58" t="str">
        <v>1. Con người &amp; Các mối quan hệ</v>
      </c>
    </row>
    <row r="59">
      <c r="A59">
        <v>62</v>
      </c>
      <c r="B59">
        <v>4</v>
      </c>
      <c r="C59" t="str">
        <v>这家宾馆跟别的都不一样</v>
      </c>
      <c r="D59" t="str">
        <v>除了</v>
      </c>
      <c r="E59" t="str">
        <v>Giới từ</v>
      </c>
      <c r="F59" t="str">
        <v>chúle</v>
      </c>
      <c r="G59" t="str">
        <v>ngoài ra, ngoại trừ</v>
      </c>
      <c r="H59" t="str">
        <v>15. Công cụ ngữ pháp &amp; Cấu trúc</v>
      </c>
    </row>
    <row r="60">
      <c r="A60">
        <v>63</v>
      </c>
      <c r="B60">
        <v>12</v>
      </c>
      <c r="C60" t="str">
        <v>这个季节天气变化很快</v>
      </c>
      <c r="D60" t="str">
        <v>船</v>
      </c>
      <c r="E60" t="str">
        <v>Danh từ</v>
      </c>
      <c r="F60" t="str">
        <v>chuán</v>
      </c>
      <c r="G60" t="str">
        <v>tàu, thuyền</v>
      </c>
      <c r="H60" t="str">
        <v>10. Thời gian</v>
      </c>
    </row>
    <row r="61">
      <c r="A61">
        <v>64</v>
      </c>
      <c r="B61">
        <v>12</v>
      </c>
      <c r="C61" t="str">
        <v>这个季节天气变化很快</v>
      </c>
      <c r="D61" t="str">
        <v>春天</v>
      </c>
      <c r="E61" t="str">
        <v>Danh từ</v>
      </c>
      <c r="F61" t="str">
        <v>chūntiān</v>
      </c>
      <c r="G61" t="str">
        <v>mùa xuân</v>
      </c>
      <c r="H61" t="str">
        <v>10. Thời gian</v>
      </c>
    </row>
    <row r="62">
      <c r="A62">
        <v>65</v>
      </c>
      <c r="B62">
        <v>14</v>
      </c>
      <c r="C62" t="str">
        <v>这本书被别人借走了</v>
      </c>
      <c r="D62" t="str">
        <v>词典</v>
      </c>
      <c r="E62" t="str">
        <v>Danh từ</v>
      </c>
      <c r="F62" t="str">
        <v>cídiǎn</v>
      </c>
      <c r="G62" t="str">
        <v>từ điển</v>
      </c>
      <c r="H62" t="str">
        <v>8. Giao thông &amp; Di chuyển</v>
      </c>
    </row>
    <row r="63">
      <c r="A63">
        <v>66</v>
      </c>
      <c r="B63">
        <v>17</v>
      </c>
      <c r="C63" t="str">
        <v>我要多向认真的人学习</v>
      </c>
      <c r="D63" t="str">
        <v>聪明</v>
      </c>
      <c r="E63" t="str">
        <v>Tính từ</v>
      </c>
      <c r="F63" t="str">
        <v>cōngmíng</v>
      </c>
      <c r="G63" t="str">
        <v>thông minh</v>
      </c>
      <c r="H63" t="str">
        <v>1. Con người &amp; Các mối quan hệ</v>
      </c>
    </row>
    <row r="64">
      <c r="A64">
        <v>67</v>
      </c>
      <c r="B64">
        <v>17</v>
      </c>
      <c r="C64" t="str">
        <v>我要多向认真的人学习</v>
      </c>
      <c r="D64" t="str">
        <v>错</v>
      </c>
      <c r="E64" t="str">
        <v>Tính từ</v>
      </c>
      <c r="F64" t="str">
        <v>cuò</v>
      </c>
      <c r="G64" t="str">
        <v>sai</v>
      </c>
      <c r="H64" t="str">
        <v>13. Miêu tả &amp; Đánh giá</v>
      </c>
    </row>
    <row r="65">
      <c r="A65">
        <v>68</v>
      </c>
      <c r="B65">
        <v>3</v>
      </c>
      <c r="C65" t="str">
        <v>这个小区挺好的</v>
      </c>
      <c r="D65" t="str">
        <v>打扫</v>
      </c>
      <c r="E65" t="str">
        <v>Động từ</v>
      </c>
      <c r="F65" t="str">
        <v>dǎsǎo</v>
      </c>
      <c r="G65" t="str">
        <v>dọn dẹp, quét dọn</v>
      </c>
      <c r="H65" t="str">
        <v>5. Đời sống sinh hoạt</v>
      </c>
    </row>
    <row r="66">
      <c r="A66">
        <v>69</v>
      </c>
      <c r="B66">
        <v>6</v>
      </c>
      <c r="C66" t="str">
        <v>高铁上还可以点外卖</v>
      </c>
      <c r="D66" t="str">
        <v>打算</v>
      </c>
      <c r="E66" t="str">
        <v>Danh từ, Động từ</v>
      </c>
      <c r="F66" t="str">
        <v>dǎsuàn</v>
      </c>
      <c r="G66" t="str">
        <v>dự định, tính toán</v>
      </c>
      <c r="H66" t="str">
        <v>13. Miêu tả &amp; Đánh giá</v>
      </c>
    </row>
    <row r="67">
      <c r="A67">
        <v>70</v>
      </c>
      <c r="B67">
        <v>18</v>
      </c>
      <c r="C67" t="str">
        <v>我学会了包饺子</v>
      </c>
      <c r="D67" t="str">
        <v>大概</v>
      </c>
      <c r="E67" t="str">
        <v>Tính từ, Phó từ, Danh từ</v>
      </c>
      <c r="F67" t="str">
        <v>dàgài</v>
      </c>
      <c r="G67" t="str">
        <v>khoảng chừng,chắc</v>
      </c>
      <c r="H67" t="str">
        <v>15. Công cụ ngữ pháp &amp; Cấu trúc</v>
      </c>
    </row>
    <row r="68">
      <c r="A68">
        <v>71</v>
      </c>
      <c r="B68">
        <v>16</v>
      </c>
      <c r="C68" t="str">
        <v>我听说有的熊猫出国了</v>
      </c>
      <c r="D68" t="str">
        <v>大人</v>
      </c>
      <c r="E68" t="str">
        <v>Danh từ</v>
      </c>
      <c r="F68" t="str">
        <v>dàren</v>
      </c>
      <c r="G68" t="str">
        <v>người lớn</v>
      </c>
      <c r="H68" t="str">
        <v>1. Con người &amp; Các mối quan hệ</v>
      </c>
    </row>
    <row r="69">
      <c r="A69">
        <v>72</v>
      </c>
      <c r="B69">
        <v>7</v>
      </c>
      <c r="C69" t="str">
        <v>那条裙子比短裤更好看</v>
      </c>
      <c r="D69" t="str">
        <v>大小</v>
      </c>
      <c r="E69" t="str">
        <v>Danh từ</v>
      </c>
      <c r="F69" t="str">
        <v>dàxiǎo</v>
      </c>
      <c r="G69" t="str">
        <v>kích thước</v>
      </c>
      <c r="H69" t="str">
        <v>14. Số lượng &amp; Đo lường</v>
      </c>
    </row>
    <row r="70">
      <c r="A70">
        <v>73</v>
      </c>
      <c r="B70">
        <v>16</v>
      </c>
      <c r="C70" t="str">
        <v>我听说有的熊猫出国了</v>
      </c>
      <c r="D70" t="str">
        <v>大熊猫</v>
      </c>
      <c r="E70" t="str">
        <v>Danh từ</v>
      </c>
      <c r="F70" t="str">
        <v>dàxióngmāo</v>
      </c>
      <c r="G70" t="str">
        <v>gấu trúc</v>
      </c>
      <c r="H70" t="str">
        <v>6. Đồ vật &amp; Công cụ</v>
      </c>
    </row>
    <row r="71">
      <c r="A71">
        <v>74</v>
      </c>
      <c r="B71">
        <v>5</v>
      </c>
      <c r="C71" t="str">
        <v>这样的照片才好看</v>
      </c>
      <c r="D71" t="str">
        <v>大衣</v>
      </c>
      <c r="E71" t="str">
        <v>Danh từ</v>
      </c>
      <c r="F71" t="str">
        <v>dàyī</v>
      </c>
      <c r="G71" t="str">
        <v>áo khoác</v>
      </c>
      <c r="H71" t="str">
        <v>5. Đời sống sinh hoạt</v>
      </c>
    </row>
    <row r="72">
      <c r="A72">
        <v>75</v>
      </c>
      <c r="B72">
        <v>1</v>
      </c>
      <c r="C72" t="str">
        <v>我们去机场接你们</v>
      </c>
      <c r="D72" t="str">
        <v>带</v>
      </c>
      <c r="E72" t="str">
        <v>Động từ, Danh từ</v>
      </c>
      <c r="F72" t="str">
        <v>dài</v>
      </c>
      <c r="G72" t="str">
        <v>mang, đeo, dẫn theo</v>
      </c>
      <c r="H72" t="str">
        <v>5. Đời sống sinh hoạt</v>
      </c>
    </row>
    <row r="73">
      <c r="A73">
        <v>76</v>
      </c>
      <c r="B73">
        <v>8</v>
      </c>
      <c r="C73" t="str">
        <v>今天我出院了</v>
      </c>
      <c r="D73" t="str">
        <v>担心</v>
      </c>
      <c r="E73" t="str">
        <v>Động từ</v>
      </c>
      <c r="F73" t="str">
        <v>dānxīn</v>
      </c>
      <c r="G73" t="str">
        <v>lo lắng</v>
      </c>
      <c r="H73" t="str">
        <v>3. Cảm xúc &amp; Thái độ</v>
      </c>
    </row>
    <row r="74">
      <c r="A74">
        <v>77</v>
      </c>
      <c r="B74">
        <v>2</v>
      </c>
      <c r="C74" t="str">
        <v>你们想吃什么就点什么</v>
      </c>
      <c r="D74" t="str">
        <v>蛋糕</v>
      </c>
      <c r="E74" t="str">
        <v>Danh từ</v>
      </c>
      <c r="F74" t="str">
        <v>dàngāo</v>
      </c>
      <c r="G74" t="str">
        <v>bánh ngọt</v>
      </c>
      <c r="H74" t="str">
        <v>5. Đời sống sinh hoạt</v>
      </c>
    </row>
    <row r="75">
      <c r="A75">
        <v>78</v>
      </c>
      <c r="B75">
        <v>10</v>
      </c>
      <c r="C75" t="str">
        <v>你明天再把书还给我</v>
      </c>
      <c r="D75" t="str">
        <v>当然</v>
      </c>
      <c r="E75" t="str">
        <v>Phó từ</v>
      </c>
      <c r="F75" t="str">
        <v>dāngrán</v>
      </c>
      <c r="G75" t="str">
        <v>đương nhiên</v>
      </c>
      <c r="H75" t="str">
        <v>15. Công cụ ngữ pháp &amp; Cấu trúc</v>
      </c>
    </row>
    <row r="76">
      <c r="A76">
        <v>79</v>
      </c>
      <c r="B76">
        <v>17</v>
      </c>
      <c r="C76" t="str">
        <v>我要多向认真的人学习</v>
      </c>
      <c r="D76" t="str">
        <v>到处</v>
      </c>
      <c r="E76" t="str">
        <v>Phó từ</v>
      </c>
      <c r="F76" t="str">
        <v>dào chù</v>
      </c>
      <c r="G76" t="str">
        <v>khắp nơi</v>
      </c>
      <c r="H76" t="str">
        <v>15. Công cụ ngữ pháp &amp; Cấu trúc</v>
      </c>
    </row>
    <row r="77">
      <c r="A77">
        <v>80</v>
      </c>
      <c r="B77">
        <v>13</v>
      </c>
      <c r="C77" t="str">
        <v>我的邻居来自英国</v>
      </c>
      <c r="D77" t="str">
        <v>的话</v>
      </c>
      <c r="E77" t="str">
        <v>Trợ từ</v>
      </c>
      <c r="F77" t="str">
        <v>dehuà</v>
      </c>
      <c r="G77" t="str">
        <v>nếu (dùng trong câu điều kiện)</v>
      </c>
      <c r="H77" t="str">
        <v>15. Công cụ ngữ pháp &amp; Cấu trúc</v>
      </c>
    </row>
    <row r="78">
      <c r="A78">
        <v>81</v>
      </c>
      <c r="B78">
        <v>9</v>
      </c>
      <c r="C78" t="str">
        <v>打不好没有关系</v>
      </c>
      <c r="D78" t="str">
        <v>得到</v>
      </c>
      <c r="E78" t="str">
        <v>Động từ</v>
      </c>
      <c r="F78" t="str">
        <v>dédào</v>
      </c>
      <c r="G78" t="str">
        <v>đạt được, nhận được</v>
      </c>
      <c r="H78" t="str">
        <v>5. Đời sống sinh hoạt</v>
      </c>
    </row>
    <row r="79">
      <c r="A79">
        <v>82</v>
      </c>
      <c r="B79">
        <v>9</v>
      </c>
      <c r="C79" t="str">
        <v>打不好没有关系</v>
      </c>
      <c r="D79" t="str">
        <v>得分</v>
      </c>
      <c r="E79" t="str">
        <v>Danh từ, Động từ</v>
      </c>
      <c r="F79" t="str">
        <v>défēn</v>
      </c>
      <c r="G79" t="str">
        <v>ghi điểm, số điểm</v>
      </c>
      <c r="H79" t="str">
        <v>8. Giao thông &amp; Di chuyển</v>
      </c>
    </row>
    <row r="80">
      <c r="A80">
        <v>83</v>
      </c>
      <c r="B80">
        <v>8</v>
      </c>
      <c r="C80" t="str">
        <v>今天我出院了</v>
      </c>
      <c r="D80" t="str">
        <v>得</v>
      </c>
      <c r="E80" t="str">
        <v>Động từ</v>
      </c>
      <c r="F80" t="str">
        <v>děi</v>
      </c>
      <c r="G80" t="str">
        <v>phải (cần phải làm gì)</v>
      </c>
      <c r="H80" t="str">
        <v>15. Công cụ ngữ pháp &amp; Cấu trúc</v>
      </c>
    </row>
    <row r="81">
      <c r="A81">
        <v>84</v>
      </c>
      <c r="B81">
        <v>3</v>
      </c>
      <c r="C81" t="str">
        <v>这个小区挺好的</v>
      </c>
      <c r="D81" t="str">
        <v>灯</v>
      </c>
      <c r="E81" t="str">
        <v>Danh từ</v>
      </c>
      <c r="F81" t="str">
        <v>dēng</v>
      </c>
      <c r="G81" t="str">
        <v>đèn</v>
      </c>
      <c r="H81" t="str">
        <v>6. Đồ vật &amp; Công cụ</v>
      </c>
    </row>
    <row r="82">
      <c r="A82">
        <v>85</v>
      </c>
      <c r="B82">
        <v>8</v>
      </c>
      <c r="C82" t="str">
        <v>今天我出院了</v>
      </c>
      <c r="D82" t="str">
        <v>低</v>
      </c>
      <c r="E82" t="str">
        <v>Tính từ</v>
      </c>
      <c r="F82" t="str">
        <v>dī</v>
      </c>
      <c r="G82" t="str">
        <v>thấp</v>
      </c>
      <c r="H82" t="str">
        <v>13. Miêu tả &amp; Đánh giá</v>
      </c>
    </row>
    <row r="83">
      <c r="A83">
        <v>86</v>
      </c>
      <c r="B83">
        <v>11</v>
      </c>
      <c r="C83" t="str">
        <v>看来我还没办法解决这个问题</v>
      </c>
      <c r="D83" t="str">
        <v>地点</v>
      </c>
      <c r="E83" t="str">
        <v>Danh từ</v>
      </c>
      <c r="F83" t="str">
        <v>dìdiǎn</v>
      </c>
      <c r="G83" t="str">
        <v>địa điểm</v>
      </c>
      <c r="H83" t="str">
        <v>8. Giao thông &amp; Di chuyển</v>
      </c>
    </row>
    <row r="84">
      <c r="A84">
        <v>87</v>
      </c>
      <c r="B84">
        <v>12</v>
      </c>
      <c r="C84" t="str">
        <v>这个季节天气变化很快</v>
      </c>
      <c r="D84" t="str">
        <v>地方</v>
      </c>
      <c r="E84" t="str">
        <v>Danh từ</v>
      </c>
      <c r="F84" t="str">
        <v>dìfang</v>
      </c>
      <c r="G84" t="str">
        <v>nơi chốn, địa phương</v>
      </c>
      <c r="H84" t="str">
        <v>7. Địa điểm &amp; Nơi chốn</v>
      </c>
    </row>
    <row r="85">
      <c r="A85">
        <v>88</v>
      </c>
      <c r="B85">
        <v>13</v>
      </c>
      <c r="C85" t="str">
        <v>我的邻居来自英国</v>
      </c>
      <c r="D85" t="str">
        <v>地图</v>
      </c>
      <c r="E85" t="str">
        <v>Danh từ</v>
      </c>
      <c r="F85" t="str">
        <v>dìtú</v>
      </c>
      <c r="G85" t="str">
        <v>bản đồ</v>
      </c>
      <c r="H85" t="str">
        <v>6. Đồ vật &amp; Công cụ</v>
      </c>
    </row>
    <row r="86">
      <c r="A86">
        <v>89</v>
      </c>
      <c r="B86">
        <v>13</v>
      </c>
      <c r="C86" t="str">
        <v>我的邻居来自英国</v>
      </c>
      <c r="D86" t="str">
        <v>点</v>
      </c>
      <c r="E86" t="str">
        <v>Danh từ</v>
      </c>
      <c r="F86" t="str">
        <v>diǎn</v>
      </c>
      <c r="G86" t="str">
        <v>giờ (đồng hồ), điểm</v>
      </c>
      <c r="H86" t="str">
        <v>10. Thời gian</v>
      </c>
    </row>
    <row r="87">
      <c r="A87">
        <v>90</v>
      </c>
      <c r="B87">
        <v>5</v>
      </c>
      <c r="C87" t="str">
        <v>这样的照片才好看</v>
      </c>
      <c r="D87" t="str">
        <v>电</v>
      </c>
      <c r="E87" t="str">
        <v>Danh từ</v>
      </c>
      <c r="F87" t="str">
        <v>diàn</v>
      </c>
      <c r="G87" t="str">
        <v>điện</v>
      </c>
      <c r="H87" t="str">
        <v>6. Đồ vật &amp; Công cụ</v>
      </c>
    </row>
    <row r="88">
      <c r="A88">
        <v>91</v>
      </c>
      <c r="B88">
        <v>6</v>
      </c>
      <c r="D88" t="str">
        <v>电梯</v>
      </c>
      <c r="E88" t="str">
        <v>Danh từ</v>
      </c>
      <c r="F88" t="str">
        <v>diàntī</v>
      </c>
      <c r="G88" t="str">
        <v>thang máy</v>
      </c>
      <c r="H88" t="str">
        <v>6. Đồ vật &amp; Công cụ</v>
      </c>
    </row>
    <row r="89">
      <c r="A89">
        <v>92</v>
      </c>
      <c r="B89">
        <v>14</v>
      </c>
      <c r="D89" t="str">
        <v>电子书</v>
      </c>
      <c r="E89" t="str">
        <v>Danh từ</v>
      </c>
      <c r="F89" t="str">
        <v>diànzǐshū</v>
      </c>
      <c r="G89" t="str">
        <v>sách điện tử</v>
      </c>
      <c r="H89" t="str">
        <v>6. Đồ vật &amp; Công cụ</v>
      </c>
    </row>
    <row r="90">
      <c r="A90">
        <v>93</v>
      </c>
      <c r="B90">
        <v>1</v>
      </c>
      <c r="C90" t="str">
        <v>我们去机场接你们</v>
      </c>
      <c r="D90" t="str">
        <v>丢</v>
      </c>
      <c r="E90" t="str">
        <v>Động từ</v>
      </c>
      <c r="F90" t="str">
        <v>diū</v>
      </c>
      <c r="G90" t="str">
        <v>mất, đánh mất</v>
      </c>
      <c r="H90" t="str">
        <v>5. Đời sống sinh hoạt</v>
      </c>
    </row>
    <row r="91">
      <c r="A91">
        <v>94</v>
      </c>
      <c r="B91">
        <v>13</v>
      </c>
      <c r="C91" t="str">
        <v>我的邻居来自英国</v>
      </c>
      <c r="D91" t="str">
        <v>东方</v>
      </c>
      <c r="E91" t="str">
        <v>Danh từ</v>
      </c>
      <c r="F91" t="str">
        <v>dōngfāng</v>
      </c>
      <c r="G91" t="str">
        <v>phương Đông</v>
      </c>
      <c r="H91" t="str">
        <v>10. Thời gian</v>
      </c>
    </row>
    <row r="92">
      <c r="A92">
        <v>95</v>
      </c>
      <c r="B92">
        <v>12</v>
      </c>
      <c r="C92" t="str">
        <v>这个季节天气变化很快</v>
      </c>
      <c r="D92" t="str">
        <v>冬天</v>
      </c>
      <c r="E92" t="str">
        <v>Danh từ</v>
      </c>
      <c r="F92" t="str">
        <v>dōngtiān</v>
      </c>
      <c r="G92" t="str">
        <v>mùa đông</v>
      </c>
      <c r="H92" t="str">
        <v>10. Thời gian</v>
      </c>
    </row>
    <row r="93">
      <c r="A93">
        <v>96</v>
      </c>
      <c r="B93">
        <v>18</v>
      </c>
      <c r="C93" t="str">
        <v>我学会了包饺子</v>
      </c>
      <c r="D93" t="str">
        <v>懂得</v>
      </c>
      <c r="E93" t="str">
        <v>Động từ</v>
      </c>
      <c r="F93" t="str">
        <v>dǒngde</v>
      </c>
      <c r="G93" t="str">
        <v>hiểu, biết</v>
      </c>
      <c r="H93" t="str">
        <v>4. Tư duy &amp; Nhận thức</v>
      </c>
    </row>
    <row r="94">
      <c r="A94">
        <v>97</v>
      </c>
      <c r="B94">
        <v>16</v>
      </c>
      <c r="C94" t="str">
        <v>我听说有的熊猫出国了</v>
      </c>
      <c r="D94" t="str">
        <v>动物</v>
      </c>
      <c r="E94" t="str">
        <v>Danh từ</v>
      </c>
      <c r="F94" t="str">
        <v>dòngwù</v>
      </c>
      <c r="G94" t="str">
        <v>động vật</v>
      </c>
      <c r="H94" t="str">
        <v>16. Tự nhiên</v>
      </c>
    </row>
    <row r="95">
      <c r="A95">
        <v>98</v>
      </c>
      <c r="B95">
        <v>16</v>
      </c>
      <c r="C95" t="str">
        <v>我听说有的熊猫出国了</v>
      </c>
      <c r="D95" t="str">
        <v>动物园</v>
      </c>
      <c r="E95" t="str">
        <v>Danh từ</v>
      </c>
      <c r="F95" t="str">
        <v>dòngwùyuán</v>
      </c>
      <c r="G95" t="str">
        <v>vườn thú</v>
      </c>
      <c r="H95" t="str">
        <v>6. Đồ vật &amp; Công cụ</v>
      </c>
    </row>
    <row r="96">
      <c r="A96">
        <v>99</v>
      </c>
      <c r="B96">
        <v>1</v>
      </c>
      <c r="C96" t="str">
        <v>我们去机场接你们</v>
      </c>
      <c r="D96" t="str">
        <v>短</v>
      </c>
      <c r="E96" t="str">
        <v>Tính từ</v>
      </c>
      <c r="F96" t="str">
        <v>duǎn</v>
      </c>
      <c r="G96" t="str">
        <v>ngắn</v>
      </c>
      <c r="H96" t="str">
        <v>13. Miêu tả &amp; Đánh giá</v>
      </c>
    </row>
    <row r="97">
      <c r="A97">
        <v>100</v>
      </c>
      <c r="B97">
        <v>7</v>
      </c>
      <c r="C97" t="str">
        <v>那条裙子比短裤更好看</v>
      </c>
      <c r="D97" t="str">
        <v>短裤</v>
      </c>
      <c r="E97" t="str">
        <v>Danh từ</v>
      </c>
      <c r="F97" t="str">
        <v>duǎnkù</v>
      </c>
      <c r="G97" t="str">
        <v>quần đùi, quần ngắn</v>
      </c>
      <c r="H97" t="str">
        <v>5. Đời sống sinh hoạt</v>
      </c>
    </row>
    <row r="98">
      <c r="A98">
        <v>101</v>
      </c>
      <c r="B98">
        <v>15</v>
      </c>
      <c r="D98" t="str">
        <v>段</v>
      </c>
      <c r="E98" t="str">
        <v>Lượng từ</v>
      </c>
      <c r="F98" t="str">
        <v>duàn</v>
      </c>
      <c r="G98" t="str">
        <v>đoạn, phần</v>
      </c>
      <c r="H98" t="str">
        <v>15. Công cụ ngữ pháp &amp; Cấu trúc</v>
      </c>
    </row>
    <row r="99">
      <c r="A99">
        <v>102</v>
      </c>
      <c r="B99">
        <v>5</v>
      </c>
      <c r="C99" t="str">
        <v>这样的照片才好看</v>
      </c>
      <c r="D99" t="str">
        <v>锻炼</v>
      </c>
      <c r="E99" t="str">
        <v>Động từ</v>
      </c>
      <c r="F99" t="str">
        <v>duànliàn</v>
      </c>
      <c r="G99" t="str">
        <v>rèn luyện (thể dục)</v>
      </c>
      <c r="H99" t="str">
        <v>5. Đời sống sinh hoạt</v>
      </c>
    </row>
    <row r="100">
      <c r="A100">
        <v>103</v>
      </c>
      <c r="B100">
        <v>10</v>
      </c>
      <c r="C100" t="str">
        <v>你明天再把书还给我</v>
      </c>
      <c r="D100" t="str">
        <v>对话</v>
      </c>
      <c r="E100" t="str">
        <v>Động từ</v>
      </c>
      <c r="F100" t="str">
        <v>duìhuà</v>
      </c>
      <c r="G100" t="str">
        <v>hội thoại, đối thoại</v>
      </c>
      <c r="H100" t="str">
        <v>5. Đời sống sinh hoạt</v>
      </c>
    </row>
    <row r="101">
      <c r="A101">
        <v>104</v>
      </c>
      <c r="B101">
        <v>2</v>
      </c>
      <c r="C101" t="str">
        <v>你们想吃什么就点什么</v>
      </c>
      <c r="D101" t="str">
        <v>饿</v>
      </c>
      <c r="E101" t="str">
        <v>Tính từ</v>
      </c>
      <c r="F101" t="str">
        <v>è</v>
      </c>
      <c r="G101" t="str">
        <v>đói</v>
      </c>
      <c r="H101" t="str">
        <v>13. Miêu tả &amp; Đánh giá</v>
      </c>
    </row>
    <row r="102">
      <c r="A102">
        <v>105</v>
      </c>
      <c r="B102">
        <v>7</v>
      </c>
      <c r="C102" t="str">
        <v>那条裙子比短裤更好看</v>
      </c>
      <c r="D102" t="str">
        <v>而且</v>
      </c>
      <c r="E102" t="str">
        <v>Liên từ</v>
      </c>
      <c r="F102" t="str">
        <v>érqiě</v>
      </c>
      <c r="G102" t="str">
        <v>mà còn, vả lại</v>
      </c>
      <c r="H102" t="str">
        <v>15. Công cụ ngữ pháp &amp; Cấu trúc</v>
      </c>
    </row>
    <row r="103">
      <c r="A103">
        <v>106</v>
      </c>
      <c r="B103">
        <v>8</v>
      </c>
      <c r="C103" t="str">
        <v>今天我出院了</v>
      </c>
      <c r="D103" t="str">
        <v>耳朵</v>
      </c>
      <c r="E103" t="str">
        <v>Danh từ</v>
      </c>
      <c r="F103" t="str">
        <v>ěrduo</v>
      </c>
      <c r="G103" t="str">
        <v xml:space="preserve">tai, lỗ tai </v>
      </c>
      <c r="H103" t="str">
        <v>6. Đồ vật &amp; Công cụ</v>
      </c>
    </row>
    <row r="104">
      <c r="A104">
        <v>107</v>
      </c>
      <c r="B104">
        <v>6</v>
      </c>
      <c r="C104" t="str">
        <v>高铁上还可以点外卖</v>
      </c>
      <c r="D104" t="str">
        <v>耳机</v>
      </c>
      <c r="E104" t="str">
        <v>Danh từ</v>
      </c>
      <c r="F104" t="str">
        <v>ěrjī</v>
      </c>
      <c r="G104" t="str">
        <v xml:space="preserve">tai nghe </v>
      </c>
      <c r="H104" t="str">
        <v>6. Đồ vật &amp; Công cụ</v>
      </c>
    </row>
    <row r="105">
      <c r="A105">
        <v>108</v>
      </c>
      <c r="B105">
        <v>11</v>
      </c>
      <c r="C105" t="str">
        <v>看来我还没办法解决这个问题</v>
      </c>
      <c r="D105" t="str">
        <v>发</v>
      </c>
      <c r="E105" t="str">
        <v>Động từ</v>
      </c>
      <c r="F105" t="str">
        <v>fā</v>
      </c>
      <c r="G105" t="str">
        <v>phát ra, gửi đi</v>
      </c>
      <c r="H105" t="str">
        <v>8. Giao thông &amp; Di chuyển</v>
      </c>
    </row>
    <row r="106">
      <c r="A106">
        <v>109</v>
      </c>
      <c r="B106">
        <v>8</v>
      </c>
      <c r="C106" t="str">
        <v>今天我出院了</v>
      </c>
      <c r="D106" t="str">
        <v>发烧</v>
      </c>
      <c r="E106" t="str">
        <v>Động từ</v>
      </c>
      <c r="F106" t="str">
        <v>fāshāo</v>
      </c>
      <c r="G106" t="str">
        <v>sốt</v>
      </c>
      <c r="H106" t="str">
        <v>2. Cơ thể &amp; Sức khỏe</v>
      </c>
    </row>
    <row r="107">
      <c r="A107">
        <v>110</v>
      </c>
      <c r="B107">
        <v>18</v>
      </c>
      <c r="C107" t="str">
        <v>我学会了包饺子</v>
      </c>
      <c r="D107" t="str">
        <v>发生</v>
      </c>
      <c r="E107" t="str">
        <v>Động từ</v>
      </c>
      <c r="F107" t="str">
        <v>fāshēng</v>
      </c>
      <c r="G107" t="str">
        <v>xảy ra</v>
      </c>
      <c r="H107" t="str">
        <v>5. Đời sống sinh hoạt</v>
      </c>
    </row>
    <row r="108">
      <c r="A108">
        <v>111</v>
      </c>
      <c r="B108">
        <v>1</v>
      </c>
      <c r="C108" t="str">
        <v>我们去机场接你们</v>
      </c>
      <c r="D108" t="str">
        <v>发现</v>
      </c>
      <c r="E108" t="str">
        <v>Động từ</v>
      </c>
      <c r="F108" t="str">
        <v>fāxiàn</v>
      </c>
      <c r="G108" t="str">
        <v>phát hiện</v>
      </c>
      <c r="H108" t="str">
        <v>4. Tư duy &amp; Nhận thức</v>
      </c>
    </row>
    <row r="109">
      <c r="A109">
        <v>112</v>
      </c>
      <c r="B109">
        <v>18</v>
      </c>
      <c r="C109" t="str">
        <v>我学会了包饺子</v>
      </c>
      <c r="D109" t="str">
        <v>发展</v>
      </c>
      <c r="E109" t="str">
        <v>Động từ</v>
      </c>
      <c r="F109" t="str">
        <v>fāzhǎn</v>
      </c>
      <c r="G109" t="str">
        <v>phát triển</v>
      </c>
      <c r="H109" t="str">
        <v>5. Đời sống sinh hoạt</v>
      </c>
    </row>
    <row r="110">
      <c r="A110">
        <v>113</v>
      </c>
      <c r="B110">
        <v>2</v>
      </c>
      <c r="C110" t="str">
        <v>你们想吃什么就点什么</v>
      </c>
      <c r="D110" t="str">
        <v>方便</v>
      </c>
      <c r="E110" t="str">
        <v>Tính từ</v>
      </c>
      <c r="F110" t="str">
        <v>fāngbiàn</v>
      </c>
      <c r="G110" t="str">
        <v>thuận tiện</v>
      </c>
      <c r="H110" t="str">
        <v>10. Thời gian</v>
      </c>
    </row>
    <row r="111">
      <c r="A111">
        <v>114</v>
      </c>
      <c r="B111">
        <v>2</v>
      </c>
      <c r="C111" t="str">
        <v>你们想吃什么就点什么</v>
      </c>
      <c r="D111" t="str">
        <v>方便面</v>
      </c>
      <c r="E111" t="str">
        <v>Danh từ</v>
      </c>
      <c r="F111" t="str">
        <v>fāngbiànmiàn</v>
      </c>
      <c r="G111" t="str">
        <v>mì tôm (mì ăn liền)</v>
      </c>
      <c r="H111" t="str">
        <v>5. Đời sống sinh hoạt</v>
      </c>
    </row>
    <row r="112">
      <c r="A112">
        <v>115</v>
      </c>
      <c r="B112">
        <v>8</v>
      </c>
      <c r="C112" t="str">
        <v>今天我出院了</v>
      </c>
      <c r="D112" t="str">
        <v>方法</v>
      </c>
      <c r="E112" t="str">
        <v>Danh từ</v>
      </c>
      <c r="F112" t="str">
        <v>fāngfǎ</v>
      </c>
      <c r="G112" t="str">
        <v>phương pháp</v>
      </c>
      <c r="H112" t="str">
        <v>4. Tư duy &amp; Nhận thức</v>
      </c>
    </row>
    <row r="113">
      <c r="A113">
        <v>116</v>
      </c>
      <c r="B113">
        <v>17</v>
      </c>
      <c r="C113" t="str">
        <v>我要多向认真的人学习</v>
      </c>
      <c r="D113" t="str">
        <v>方向</v>
      </c>
      <c r="E113" t="str">
        <v>Danh từ</v>
      </c>
      <c r="F113" t="str">
        <v>fāngxiàng</v>
      </c>
      <c r="G113" t="str">
        <v>phương hướng</v>
      </c>
      <c r="H113" t="str">
        <v>9. Không gian &amp; Vị trí</v>
      </c>
    </row>
    <row r="114">
      <c r="A114">
        <v>117</v>
      </c>
      <c r="B114">
        <v>3</v>
      </c>
      <c r="C114" t="str">
        <v>这个小区挺好的</v>
      </c>
      <c r="D114" t="str">
        <v>房子</v>
      </c>
      <c r="E114" t="str">
        <v>Danh từ</v>
      </c>
      <c r="F114" t="str">
        <v>fángzi</v>
      </c>
      <c r="G114" t="str">
        <v>nhà ở</v>
      </c>
      <c r="H114" t="str">
        <v>7. Địa điểm &amp; Nơi chốn</v>
      </c>
    </row>
    <row r="115">
      <c r="A115">
        <v>118</v>
      </c>
      <c r="B115">
        <v>13</v>
      </c>
      <c r="C115" t="str">
        <v>我的邻居来自英国</v>
      </c>
      <c r="D115" t="str">
        <v>放</v>
      </c>
      <c r="E115" t="str">
        <v>Động từ</v>
      </c>
      <c r="F115" t="str">
        <v>fàng</v>
      </c>
      <c r="G115" t="str">
        <v>đặt, để, thả</v>
      </c>
      <c r="H115" t="str">
        <v>5. Đời sống sinh hoạt</v>
      </c>
    </row>
    <row r="116">
      <c r="A116">
        <v>119</v>
      </c>
      <c r="B116">
        <v>6</v>
      </c>
      <c r="C116" t="str">
        <v>高铁上还可以点外卖</v>
      </c>
      <c r="D116" t="str">
        <v>放假</v>
      </c>
      <c r="E116" t="str">
        <v>Động từ</v>
      </c>
      <c r="F116" t="str">
        <v>fàngjià</v>
      </c>
      <c r="G116" t="str">
        <v>nghỉ lễ/tết</v>
      </c>
      <c r="H116" t="str">
        <v>10. Thời gian</v>
      </c>
    </row>
    <row r="117">
      <c r="A117">
        <v>120</v>
      </c>
      <c r="B117">
        <v>13</v>
      </c>
      <c r="C117" t="str">
        <v>我的邻居来自英国</v>
      </c>
      <c r="D117" t="str">
        <v>放心</v>
      </c>
      <c r="E117" t="str">
        <v>Động từ</v>
      </c>
      <c r="F117" t="str">
        <v>fàngxīn</v>
      </c>
      <c r="G117" t="str">
        <v>yên tâm</v>
      </c>
      <c r="H117" t="str">
        <v>5. Đời sống sinh hoạt</v>
      </c>
    </row>
    <row r="118">
      <c r="A118">
        <v>121</v>
      </c>
      <c r="B118">
        <v>15</v>
      </c>
      <c r="C118" t="str">
        <v>我是半个南京人</v>
      </c>
      <c r="D118" t="str">
        <v>放学</v>
      </c>
      <c r="E118" t="str">
        <v>Động từ</v>
      </c>
      <c r="F118" t="str">
        <v>fàngxué</v>
      </c>
      <c r="G118" t="str">
        <v>tan học</v>
      </c>
      <c r="H118" t="str">
        <v>1. Con người &amp; Các mối quan hệ</v>
      </c>
    </row>
    <row r="119">
      <c r="A119">
        <v>122</v>
      </c>
      <c r="B119">
        <v>6</v>
      </c>
      <c r="C119" t="str">
        <v>高铁上还可以点外卖</v>
      </c>
      <c r="D119" t="str">
        <v>分开</v>
      </c>
      <c r="E119" t="str">
        <v>Động từ</v>
      </c>
      <c r="F119" t="str">
        <v>fēnkāi</v>
      </c>
      <c r="G119" t="str">
        <v>tách ra, chia ra</v>
      </c>
      <c r="H119" t="str">
        <v>5. Đời sống sinh hoạt</v>
      </c>
    </row>
    <row r="120">
      <c r="A120">
        <v>123</v>
      </c>
      <c r="B120">
        <v>12</v>
      </c>
      <c r="C120" t="str">
        <v>这个季节天气变化很快</v>
      </c>
      <c r="D120" t="str">
        <v>风</v>
      </c>
      <c r="E120" t="str">
        <v>Danh từ</v>
      </c>
      <c r="F120" t="str">
        <v>fēng</v>
      </c>
      <c r="G120" t="str">
        <v>gió</v>
      </c>
      <c r="H120" t="str">
        <v>16. Tự nhiên</v>
      </c>
    </row>
    <row r="121">
      <c r="A121">
        <v>124</v>
      </c>
      <c r="B121">
        <v>5</v>
      </c>
      <c r="C121" t="str">
        <v>这样的照片才好看</v>
      </c>
      <c r="D121" t="str">
        <v>封</v>
      </c>
      <c r="E121" t="str">
        <v>Lượng từ</v>
      </c>
      <c r="F121" t="str">
        <v>fēng</v>
      </c>
      <c r="G121" t="str">
        <v>lượng từ (thư, thiệp)</v>
      </c>
      <c r="H121" t="str">
        <v>15. Công cụ ngữ pháp &amp; Cấu trúc</v>
      </c>
    </row>
    <row r="122">
      <c r="A122">
        <v>125</v>
      </c>
      <c r="B122">
        <v>13</v>
      </c>
      <c r="C122" t="str">
        <v>我的邻居来自英国</v>
      </c>
      <c r="D122" t="str">
        <v>夫妻</v>
      </c>
      <c r="E122" t="str">
        <v>Danh từ</v>
      </c>
      <c r="F122" t="str">
        <v>fūqī</v>
      </c>
      <c r="G122" t="str">
        <v>vợ chồng</v>
      </c>
      <c r="H122" t="str">
        <v>1. Con người &amp; Các mối quan hệ</v>
      </c>
    </row>
    <row r="123">
      <c r="A123">
        <v>126</v>
      </c>
      <c r="B123">
        <v>2</v>
      </c>
      <c r="C123" t="str">
        <v>你想吃什么就点什么</v>
      </c>
      <c r="D123" t="str">
        <v>服务</v>
      </c>
      <c r="E123" t="str">
        <v>Động từ</v>
      </c>
      <c r="F123" t="str">
        <v>fúwù</v>
      </c>
      <c r="G123" t="str">
        <v>phục vụ</v>
      </c>
      <c r="H123" t="str">
        <v>5. Đời sống sinh hoạt</v>
      </c>
    </row>
    <row r="124">
      <c r="A124">
        <v>127</v>
      </c>
      <c r="B124">
        <v>1</v>
      </c>
      <c r="C124" t="str">
        <v>我们去机场接你们</v>
      </c>
      <c r="D124" t="str">
        <v>服务台</v>
      </c>
      <c r="E124" t="str">
        <v>Danh từ</v>
      </c>
      <c r="F124" t="str">
        <v>fúwùtái</v>
      </c>
      <c r="G124" t="str">
        <v>quầy lễ tân</v>
      </c>
      <c r="H124" t="str">
        <v>6. Đồ vật &amp; Công cụ</v>
      </c>
    </row>
    <row r="125">
      <c r="A125">
        <v>128</v>
      </c>
      <c r="B125">
        <v>15</v>
      </c>
      <c r="C125" t="str">
        <v>我是半个南京人</v>
      </c>
      <c r="D125" t="str">
        <v>附近</v>
      </c>
      <c r="E125" t="str">
        <v>Danh từ</v>
      </c>
      <c r="F125" t="str">
        <v>fùjìn</v>
      </c>
      <c r="G125" t="str">
        <v>gần đây, khu vực lân cận</v>
      </c>
      <c r="H125" t="str">
        <v>6. Đồ vật &amp; Công cụ</v>
      </c>
    </row>
    <row r="126">
      <c r="A126">
        <v>129</v>
      </c>
      <c r="B126">
        <v>10</v>
      </c>
      <c r="C126" t="str">
        <v>你明天再把书还给我</v>
      </c>
      <c r="D126" t="str">
        <v>复习</v>
      </c>
      <c r="E126" t="str">
        <v>Động từ</v>
      </c>
      <c r="F126" t="str">
        <v>fùxí</v>
      </c>
      <c r="G126" t="str">
        <v>ôn tập</v>
      </c>
      <c r="H126" t="str">
        <v>4. Tư duy &amp; Nhận thức</v>
      </c>
    </row>
    <row r="127">
      <c r="A127">
        <v>130</v>
      </c>
      <c r="B127">
        <v>6</v>
      </c>
      <c r="C127" t="str">
        <v>高铁上还可以点外卖</v>
      </c>
      <c r="D127" t="str">
        <v>该</v>
      </c>
      <c r="E127" t="str">
        <v>Động từ</v>
      </c>
      <c r="F127" t="str">
        <v>gāi</v>
      </c>
      <c r="G127" t="str">
        <v>nên, đáng</v>
      </c>
      <c r="H127" t="str">
        <v>5. Đời sống sinh hoạt</v>
      </c>
    </row>
    <row r="128">
      <c r="A128">
        <v>131</v>
      </c>
      <c r="B128">
        <v>4</v>
      </c>
      <c r="C128" t="str">
        <v>这家宾馆跟别的都不一样</v>
      </c>
      <c r="D128" t="str">
        <v>干净</v>
      </c>
      <c r="E128" t="str">
        <v>Tính từ</v>
      </c>
      <c r="F128" t="str">
        <v>gānjìng</v>
      </c>
      <c r="G128" t="str">
        <v>sạch sẽ</v>
      </c>
      <c r="H128" t="str">
        <v>13. Miêu tả &amp; Đánh giá</v>
      </c>
    </row>
    <row r="129">
      <c r="A129">
        <v>132</v>
      </c>
      <c r="B129">
        <v>13</v>
      </c>
      <c r="C129" t="str">
        <v>我的邻居来自英国</v>
      </c>
      <c r="D129" t="str">
        <v>感到</v>
      </c>
      <c r="E129" t="str">
        <v>Động từ</v>
      </c>
      <c r="F129" t="str">
        <v>gǎndào</v>
      </c>
      <c r="G129" t="str">
        <v>cảm thấy</v>
      </c>
      <c r="H129" t="str">
        <v>2. Cơ thể &amp; Sức khỏe</v>
      </c>
    </row>
    <row r="130">
      <c r="A130">
        <v>133</v>
      </c>
      <c r="B130">
        <v>8</v>
      </c>
      <c r="C130" t="str">
        <v>今天我出院了</v>
      </c>
      <c r="D130" t="str">
        <v>感冒</v>
      </c>
      <c r="E130" t="str">
        <v>Danh từ, Động từ</v>
      </c>
      <c r="F130" t="str">
        <v>gǎnmào</v>
      </c>
      <c r="G130" t="str">
        <v>cảm cúm</v>
      </c>
      <c r="H130" t="str">
        <v>2. Cơ thể &amp; Sức khỏe</v>
      </c>
    </row>
    <row r="131">
      <c r="A131">
        <v>134</v>
      </c>
      <c r="B131">
        <v>5</v>
      </c>
      <c r="C131" t="str">
        <v>这样的照片才好看</v>
      </c>
      <c r="D131" t="str">
        <v>感兴趣</v>
      </c>
      <c r="F131" t="str">
        <v>gǎn xìngqù</v>
      </c>
      <c r="G131" t="str">
        <v>cảm thấy hứng thú</v>
      </c>
      <c r="H131" t="str">
        <v>2. Cơ thể &amp; Sức khỏe</v>
      </c>
    </row>
    <row r="132">
      <c r="A132">
        <v>135</v>
      </c>
      <c r="B132">
        <v>5</v>
      </c>
      <c r="C132" t="str">
        <v>这样的照片才好看</v>
      </c>
      <c r="D132" t="str">
        <v>干</v>
      </c>
      <c r="E132" t="str">
        <v>Động từ</v>
      </c>
      <c r="F132" t="str">
        <v>gàn</v>
      </c>
      <c r="G132" t="str">
        <v>làm</v>
      </c>
      <c r="H132" t="str">
        <v>5. Đời sống sinh hoạt</v>
      </c>
    </row>
    <row r="133">
      <c r="A133">
        <v>136</v>
      </c>
      <c r="B133">
        <v>18</v>
      </c>
      <c r="C133" t="str">
        <v>我学会了包饺子</v>
      </c>
      <c r="D133" t="str">
        <v>刚</v>
      </c>
      <c r="E133" t="str">
        <v>Phó từ</v>
      </c>
      <c r="F133" t="str">
        <v>gāng</v>
      </c>
      <c r="G133" t="str">
        <v>vừa mới</v>
      </c>
      <c r="H133" t="str">
        <v>15. Công cụ ngữ pháp &amp; Cấu trúc</v>
      </c>
    </row>
    <row r="134">
      <c r="A134">
        <v>137</v>
      </c>
      <c r="B134">
        <v>12</v>
      </c>
      <c r="C134" t="str">
        <v>这个季节天气变化很快</v>
      </c>
      <c r="D134" t="str">
        <v>刚才</v>
      </c>
      <c r="E134" t="str">
        <v>Danh từ</v>
      </c>
      <c r="F134" t="str">
        <v>gāngcái</v>
      </c>
      <c r="G134" t="str">
        <v>vừa nãy</v>
      </c>
      <c r="H134" t="str">
        <v>6. Đồ vật &amp; Công cụ</v>
      </c>
    </row>
    <row r="135">
      <c r="A135">
        <v>138</v>
      </c>
      <c r="B135">
        <v>18</v>
      </c>
      <c r="C135" t="str">
        <v>我学会了包饺子</v>
      </c>
      <c r="D135" t="str">
        <v>刚刚</v>
      </c>
      <c r="E135" t="str">
        <v>Phó từ</v>
      </c>
      <c r="F135" t="str">
        <v>gānggāng</v>
      </c>
      <c r="G135" t="str">
        <v>vừa mới</v>
      </c>
      <c r="H135" t="str">
        <v>15. Công cụ ngữ pháp &amp; Cấu trúc</v>
      </c>
    </row>
    <row r="136">
      <c r="A136">
        <v>139</v>
      </c>
      <c r="B136">
        <v>6</v>
      </c>
      <c r="C136" t="str">
        <v>高铁上还可以点外卖</v>
      </c>
      <c r="D136" t="str">
        <v>高铁</v>
      </c>
      <c r="E136" t="str">
        <v>Danh từ</v>
      </c>
      <c r="F136" t="str">
        <v>gāotiě</v>
      </c>
      <c r="G136" t="str">
        <v>tàu cao tốc</v>
      </c>
      <c r="H136" t="str">
        <v>8. Giao thông &amp; Di chuyển</v>
      </c>
    </row>
    <row r="137">
      <c r="A137">
        <v>140</v>
      </c>
      <c r="B137">
        <v>15</v>
      </c>
      <c r="C137" t="str">
        <v>我是半个南京人</v>
      </c>
      <c r="D137" t="str">
        <v>根据</v>
      </c>
      <c r="E137" t="str">
        <v>Động từ, Giới từ, Danh từ</v>
      </c>
      <c r="F137" t="str">
        <v>gēnjù</v>
      </c>
      <c r="G137" t="str">
        <v>căn cứ, dựa theo</v>
      </c>
      <c r="H137" t="str">
        <v>15. Công cụ ngữ pháp &amp; Cấu trúc</v>
      </c>
    </row>
    <row r="138">
      <c r="A138">
        <v>141</v>
      </c>
      <c r="B138">
        <v>7</v>
      </c>
      <c r="C138" t="str">
        <v>那条裙子比短裤更好看</v>
      </c>
      <c r="D138" t="str">
        <v>更</v>
      </c>
      <c r="E138" t="str">
        <v>Phó từ</v>
      </c>
      <c r="F138" t="str">
        <v>gèng</v>
      </c>
      <c r="G138" t="str">
        <v>hơn, thêm nữa</v>
      </c>
      <c r="H138" t="str">
        <v>15. Công cụ ngữ pháp &amp; Cấu trúc</v>
      </c>
    </row>
    <row r="139">
      <c r="A139">
        <v>142</v>
      </c>
      <c r="B139">
        <v>12</v>
      </c>
      <c r="C139" t="str">
        <v>这个季节天气变化很快</v>
      </c>
      <c r="D139" t="str">
        <v>工作日</v>
      </c>
      <c r="E139" t="str">
        <v>Danh từ</v>
      </c>
      <c r="F139" t="str">
        <v>gōngzuòrì</v>
      </c>
      <c r="G139" t="str">
        <v>ngày làm việc</v>
      </c>
      <c r="H139" t="str">
        <v>12. Công việc &amp; Nghề nghiệp</v>
      </c>
    </row>
    <row r="140">
      <c r="A140">
        <v>143</v>
      </c>
      <c r="B140">
        <v>7</v>
      </c>
      <c r="C140" t="str">
        <v>那条裙子比短裤更好看</v>
      </c>
      <c r="D140" t="str">
        <v>公斤</v>
      </c>
      <c r="E140" t="str">
        <v>Lượng từ</v>
      </c>
      <c r="F140" t="str">
        <v>gōngjīn</v>
      </c>
      <c r="G140" t="str">
        <v>kg (kilôgam)</v>
      </c>
      <c r="H140" t="str">
        <v>15. Công cụ ngữ pháp &amp; Cấu trúc</v>
      </c>
    </row>
    <row r="141">
      <c r="A141">
        <v>144</v>
      </c>
      <c r="B141">
        <v>12</v>
      </c>
      <c r="C141" t="str">
        <v>这个季节天气变化很快</v>
      </c>
      <c r="D141" t="str">
        <v>公园</v>
      </c>
      <c r="E141" t="str">
        <v>Danh từ</v>
      </c>
      <c r="F141" t="str">
        <v>gōngyuán</v>
      </c>
      <c r="G141" t="str">
        <v>công viên</v>
      </c>
      <c r="H141" t="str">
        <v>1. Con người &amp; Các mối quan hệ</v>
      </c>
    </row>
    <row r="142">
      <c r="A142">
        <v>145</v>
      </c>
      <c r="B142">
        <v>14</v>
      </c>
      <c r="C142" t="str">
        <v>这本书被别人借走了</v>
      </c>
      <c r="D142" t="str">
        <v>故事</v>
      </c>
      <c r="E142" t="str">
        <v>Danh từ</v>
      </c>
      <c r="F142" t="str">
        <v>gùshi</v>
      </c>
      <c r="G142" t="str">
        <v>câu chuyện</v>
      </c>
      <c r="H142" t="str">
        <v>6. Đồ vật &amp; Công cụ</v>
      </c>
    </row>
    <row r="143">
      <c r="A143">
        <v>146</v>
      </c>
      <c r="B143">
        <v>12</v>
      </c>
      <c r="C143" t="str">
        <v>这个季节天气变化很快</v>
      </c>
      <c r="D143" t="str">
        <v>刮</v>
      </c>
      <c r="E143" t="str">
        <v>Động từ</v>
      </c>
      <c r="F143" t="str">
        <v>guā</v>
      </c>
      <c r="G143" t="str">
        <v>thổi (gió)</v>
      </c>
      <c r="H143" t="str">
        <v>16. Tự nhiên</v>
      </c>
    </row>
    <row r="144">
      <c r="A144">
        <v>147</v>
      </c>
      <c r="B144">
        <v>3</v>
      </c>
      <c r="C144" t="str">
        <v>这个小区挺好的</v>
      </c>
      <c r="D144" t="str">
        <v>关</v>
      </c>
      <c r="E144" t="str">
        <v>Động từ, Danh từ</v>
      </c>
      <c r="F144" t="str">
        <v>guān</v>
      </c>
      <c r="G144" t="str">
        <v>đóng, tắt</v>
      </c>
      <c r="H144" t="str">
        <v>5. Đời sống sinh hoạt</v>
      </c>
    </row>
    <row r="145">
      <c r="A145">
        <v>148</v>
      </c>
      <c r="B145">
        <v>17</v>
      </c>
      <c r="C145" t="str">
        <v>我要多向认真的人学习</v>
      </c>
      <c r="D145" t="str">
        <v>关机</v>
      </c>
      <c r="E145" t="str">
        <v>Động từ</v>
      </c>
      <c r="F145" t="str">
        <v>guānjī</v>
      </c>
      <c r="G145" t="str">
        <v>tắt máy</v>
      </c>
      <c r="H145" t="str">
        <v>6. Đồ vật &amp; Công cụ</v>
      </c>
    </row>
    <row r="146">
      <c r="A146">
        <v>149</v>
      </c>
      <c r="B146">
        <v>15</v>
      </c>
      <c r="C146" t="str">
        <v>我是半个南京人</v>
      </c>
      <c r="D146" t="str">
        <v>关系</v>
      </c>
      <c r="E146" t="str">
        <v>Danh từ, Động từ</v>
      </c>
      <c r="F146" t="str">
        <v>guānxì</v>
      </c>
      <c r="G146" t="str">
        <v>quan hệ</v>
      </c>
      <c r="H146" t="str">
        <v>10. Thời gian</v>
      </c>
    </row>
    <row r="147">
      <c r="A147">
        <v>150</v>
      </c>
      <c r="B147">
        <v>8</v>
      </c>
      <c r="C147" t="str">
        <v>今天我出院了</v>
      </c>
      <c r="D147" t="str">
        <v>关心</v>
      </c>
      <c r="E147" t="str">
        <v>Động từ</v>
      </c>
      <c r="F147" t="str">
        <v>guānxīn</v>
      </c>
      <c r="G147" t="str">
        <v>quan tâm</v>
      </c>
      <c r="H147" t="str">
        <v>10. Thời gian</v>
      </c>
    </row>
    <row r="148">
      <c r="A148">
        <v>151</v>
      </c>
      <c r="B148">
        <v>16</v>
      </c>
      <c r="C148" t="str">
        <v>我听说特有的熊猫出国了</v>
      </c>
      <c r="D148" t="str">
        <v>关于</v>
      </c>
      <c r="E148" t="str">
        <v>Giới từ</v>
      </c>
      <c r="F148" t="str">
        <v>guānyú</v>
      </c>
      <c r="G148" t="str">
        <v>về, liên quan đến</v>
      </c>
      <c r="H148" t="str">
        <v>15. Công cụ ngữ pháp &amp; Cấu trúc</v>
      </c>
    </row>
    <row r="149">
      <c r="A149">
        <v>152</v>
      </c>
      <c r="B149">
        <v>12</v>
      </c>
      <c r="C149" t="str">
        <v>这个季节天气变化很快</v>
      </c>
      <c r="D149" t="str">
        <v>关注</v>
      </c>
      <c r="E149" t="str">
        <v>Động từ</v>
      </c>
      <c r="F149" t="str">
        <v>guānzhù</v>
      </c>
      <c r="G149" t="str">
        <v>quan tâm, chú ý đến</v>
      </c>
      <c r="H149" t="str">
        <v>10. Thời gian</v>
      </c>
    </row>
    <row r="150">
      <c r="A150">
        <v>153</v>
      </c>
      <c r="B150">
        <v>16</v>
      </c>
      <c r="C150" t="str">
        <v>我听说特有的熊猫出国了</v>
      </c>
      <c r="D150" t="str">
        <v>国宝</v>
      </c>
      <c r="E150" t="str">
        <v>Danh từ</v>
      </c>
      <c r="F150" t="str">
        <v>guóbǎo</v>
      </c>
      <c r="G150" t="str">
        <v>quốc bảo</v>
      </c>
      <c r="H150" t="str">
        <v>6. Đồ vật &amp; Công cụ</v>
      </c>
    </row>
    <row r="151">
      <c r="A151">
        <v>154</v>
      </c>
      <c r="B151">
        <v>17</v>
      </c>
      <c r="C151" t="str">
        <v>我要多向认真的人学习</v>
      </c>
      <c r="D151" t="str">
        <v>国家</v>
      </c>
      <c r="E151" t="str">
        <v>Danh từ</v>
      </c>
      <c r="F151" t="str">
        <v>guójiā</v>
      </c>
      <c r="G151" t="str">
        <v>quốc gia</v>
      </c>
      <c r="H151" t="str">
        <v>7. Địa điểm &amp; Nơi chốn</v>
      </c>
    </row>
    <row r="152">
      <c r="A152">
        <v>155</v>
      </c>
      <c r="B152">
        <v>18</v>
      </c>
      <c r="C152" t="str">
        <v>我学会了包饺子</v>
      </c>
      <c r="D152" t="str">
        <v>过节</v>
      </c>
      <c r="E152" t="str">
        <v>Động từ</v>
      </c>
      <c r="F152" t="str">
        <v>guòjié</v>
      </c>
      <c r="G152" t="str">
        <v>đón lễ/tết</v>
      </c>
      <c r="H152" t="str">
        <v>5. Đời sống sinh hoạt</v>
      </c>
    </row>
    <row r="153">
      <c r="A153">
        <v>156</v>
      </c>
      <c r="B153">
        <v>18</v>
      </c>
      <c r="C153" t="str">
        <v>我学会了包饺子</v>
      </c>
      <c r="D153" t="str">
        <v>过去</v>
      </c>
      <c r="E153" t="str">
        <v>Danh từ</v>
      </c>
      <c r="F153" t="str">
        <v>guòqù</v>
      </c>
      <c r="G153" t="str">
        <v>quá khứ, đã qua</v>
      </c>
      <c r="H153" t="str">
        <v>10. Thời gian</v>
      </c>
    </row>
    <row r="154">
      <c r="A154">
        <v>157</v>
      </c>
      <c r="B154">
        <v>5</v>
      </c>
      <c r="C154" t="str">
        <v>这样的照片才好看</v>
      </c>
      <c r="D154" t="str">
        <v>哈哈</v>
      </c>
      <c r="F154" t="str">
        <v>hāhā</v>
      </c>
      <c r="G154" t="str">
        <v>ha ha (tiếng cười)</v>
      </c>
      <c r="H154" t="str">
        <v>3. Cảm xúc &amp; Thái độ</v>
      </c>
    </row>
    <row r="155">
      <c r="A155">
        <v>158</v>
      </c>
      <c r="B155">
        <v>4</v>
      </c>
      <c r="C155" t="str">
        <v>这家宾馆跟别的都不一样</v>
      </c>
      <c r="D155" t="str">
        <v>海</v>
      </c>
      <c r="E155" t="str">
        <v>Danh từ</v>
      </c>
      <c r="F155" t="str">
        <v>hǎi</v>
      </c>
      <c r="G155" t="str">
        <v>biển</v>
      </c>
      <c r="H155" t="str">
        <v>16. Tự nhiên</v>
      </c>
    </row>
    <row r="156">
      <c r="A156">
        <v>159</v>
      </c>
      <c r="B156">
        <v>17</v>
      </c>
      <c r="C156" t="str">
        <v>我要多向认真的人学习</v>
      </c>
      <c r="D156" t="str">
        <v>害怕</v>
      </c>
      <c r="E156" t="str">
        <v>Động từ</v>
      </c>
      <c r="F156" t="str">
        <v>hàipà</v>
      </c>
      <c r="G156" t="str">
        <v>sợ hãi</v>
      </c>
      <c r="H156" t="str">
        <v>3. Cảm xúc &amp; Thái độ</v>
      </c>
    </row>
    <row r="157">
      <c r="A157">
        <v>160</v>
      </c>
      <c r="B157">
        <v>9</v>
      </c>
      <c r="C157" t="str">
        <v>打不好没关系</v>
      </c>
      <c r="D157" t="str">
        <v>好多</v>
      </c>
      <c r="E157" t="str">
        <v>Số từ</v>
      </c>
      <c r="F157" t="str">
        <v>hǎoduō</v>
      </c>
      <c r="G157" t="str">
        <v>nhiều</v>
      </c>
      <c r="H157" t="str">
        <v>13. Miêu tả &amp; Đánh giá</v>
      </c>
    </row>
    <row r="158">
      <c r="A158">
        <v>161</v>
      </c>
      <c r="B158">
        <v>2</v>
      </c>
      <c r="C158" t="str">
        <v>你们想吃什么就点什么</v>
      </c>
      <c r="D158" t="str">
        <v>好久</v>
      </c>
      <c r="E158" t="str">
        <v>Tính từ</v>
      </c>
      <c r="F158" t="str">
        <v>hǎojiǔ</v>
      </c>
      <c r="G158" t="str">
        <v>rất lâu</v>
      </c>
      <c r="H158" t="str">
        <v>13. Miêu tả &amp; Đánh giá</v>
      </c>
    </row>
    <row r="159">
      <c r="A159">
        <v>162</v>
      </c>
      <c r="B159" t="str">
        <v>1, 16</v>
      </c>
      <c r="C159" t="str">
        <v>我们去机场接你们；我听说有的熊猫出国了</v>
      </c>
      <c r="D159" t="str">
        <v>好像</v>
      </c>
      <c r="E159" t="str">
        <v>Động từ, Phó từ</v>
      </c>
      <c r="F159" t="str">
        <v>hǎoxiàng</v>
      </c>
      <c r="G159" t="str">
        <v>hình như, giống như</v>
      </c>
      <c r="H159" t="str">
        <v>15. Công cụ ngữ pháp &amp; Cấu trúc</v>
      </c>
    </row>
    <row r="160">
      <c r="A160">
        <v>163</v>
      </c>
      <c r="B160">
        <v>1</v>
      </c>
      <c r="C160" t="str">
        <v>我们去机场接你们</v>
      </c>
      <c r="D160" t="str">
        <v>号码</v>
      </c>
      <c r="E160" t="str">
        <v>Danh từ</v>
      </c>
      <c r="F160" t="str">
        <v>hàomǎ</v>
      </c>
      <c r="G160" t="str">
        <v>số (điện thoại, phòng...)</v>
      </c>
      <c r="H160" t="str">
        <v>6. Đồ vật &amp; Công cụ</v>
      </c>
    </row>
    <row r="161">
      <c r="A161">
        <v>164</v>
      </c>
      <c r="B161">
        <v>7</v>
      </c>
      <c r="C161" t="str">
        <v>那条裙子比短裤更好看</v>
      </c>
      <c r="D161" t="str">
        <v>合适</v>
      </c>
      <c r="E161" t="str">
        <v>Tính từ</v>
      </c>
      <c r="F161" t="str">
        <v>héshì</v>
      </c>
      <c r="G161" t="str">
        <v>phù hợp</v>
      </c>
      <c r="H161" t="str">
        <v>13. Miêu tả &amp; Đánh giá</v>
      </c>
    </row>
    <row r="162">
      <c r="A162">
        <v>165</v>
      </c>
      <c r="B162">
        <v>15</v>
      </c>
      <c r="C162" t="str">
        <v>我是半个南京人</v>
      </c>
      <c r="D162" t="str">
        <v>河</v>
      </c>
      <c r="E162" t="str">
        <v>Danh từ</v>
      </c>
      <c r="F162" t="str">
        <v>hé</v>
      </c>
      <c r="G162" t="str">
        <v>sông</v>
      </c>
      <c r="H162" t="str">
        <v>1. Con người &amp; Các mối quan hệ</v>
      </c>
    </row>
    <row r="163">
      <c r="A163">
        <v>166</v>
      </c>
      <c r="B163">
        <v>10</v>
      </c>
      <c r="C163" t="str">
        <v>你明天再把书还给我</v>
      </c>
      <c r="D163" t="str">
        <v>黑板</v>
      </c>
      <c r="E163" t="str">
        <v>Danh từ</v>
      </c>
      <c r="F163" t="str">
        <v>hēibǎn</v>
      </c>
      <c r="G163" t="str">
        <v>bảng đen</v>
      </c>
      <c r="H163" t="str">
        <v>6. Đồ vật &amp; Công cụ</v>
      </c>
    </row>
    <row r="164">
      <c r="A164">
        <v>167</v>
      </c>
      <c r="B164">
        <v>6</v>
      </c>
      <c r="C164" t="str">
        <v>高铁上还可以点外卖</v>
      </c>
      <c r="D164" t="str">
        <v>红绿灯</v>
      </c>
      <c r="E164" t="str">
        <v>Danh từ</v>
      </c>
      <c r="F164" t="str">
        <v>hóng-lǜdēng</v>
      </c>
      <c r="G164" t="str">
        <v>đèn giao thông</v>
      </c>
      <c r="H164" t="str">
        <v>1. Con người &amp; Các mối quan hệ</v>
      </c>
    </row>
    <row r="165">
      <c r="A165">
        <v>168</v>
      </c>
      <c r="B165">
        <v>6</v>
      </c>
      <c r="C165" t="str">
        <v>高铁上还可以点外卖</v>
      </c>
      <c r="D165" t="str">
        <v>后来</v>
      </c>
      <c r="E165" t="str">
        <v>Danh từ</v>
      </c>
      <c r="F165" t="str">
        <v>hòulái</v>
      </c>
      <c r="G165" t="str">
        <v>sau này</v>
      </c>
      <c r="H165" t="str">
        <v>9. Không gian &amp; Vị trí</v>
      </c>
    </row>
    <row r="166">
      <c r="A166">
        <v>169</v>
      </c>
      <c r="B166">
        <v>10</v>
      </c>
      <c r="C166" t="str">
        <v>你明天再把书还给我</v>
      </c>
      <c r="D166" t="str">
        <v>后年</v>
      </c>
      <c r="E166" t="str">
        <v>Danh từ</v>
      </c>
      <c r="F166" t="str">
        <v>hòunián</v>
      </c>
      <c r="G166" t="str">
        <v>năm kia</v>
      </c>
      <c r="H166" t="str">
        <v>10. Thời gian</v>
      </c>
    </row>
    <row r="167">
      <c r="A167">
        <v>170</v>
      </c>
      <c r="B167">
        <v>11</v>
      </c>
      <c r="C167" t="str">
        <v>看来我还没办法解决这个问题</v>
      </c>
      <c r="D167" t="str">
        <v>后天</v>
      </c>
      <c r="E167" t="str">
        <v>Danh từ</v>
      </c>
      <c r="F167" t="str">
        <v>hòutiān</v>
      </c>
      <c r="G167" t="str">
        <v>ngày kia</v>
      </c>
      <c r="H167" t="str">
        <v>6. Đồ vật &amp; Công cụ</v>
      </c>
    </row>
    <row r="168">
      <c r="A168">
        <v>171</v>
      </c>
      <c r="B168">
        <v>1</v>
      </c>
      <c r="C168" t="str">
        <v>我们去机场接你们</v>
      </c>
      <c r="D168" t="str">
        <v>护照</v>
      </c>
      <c r="E168" t="str">
        <v>Danh từ</v>
      </c>
      <c r="F168" t="str">
        <v>hùzhào</v>
      </c>
      <c r="G168" t="str">
        <v>hộ chiếu</v>
      </c>
      <c r="H168" t="str">
        <v>6. Đồ vật &amp; Công cụ</v>
      </c>
    </row>
    <row r="169">
      <c r="A169">
        <v>172</v>
      </c>
      <c r="B169">
        <v>3</v>
      </c>
      <c r="C169" t="str">
        <v>这个小区挺好的</v>
      </c>
      <c r="D169" t="str">
        <v>花园</v>
      </c>
      <c r="E169" t="str">
        <v>Danh từ</v>
      </c>
      <c r="F169" t="str">
        <v>huāyuán</v>
      </c>
      <c r="G169" t="str">
        <v>vườn hoa</v>
      </c>
      <c r="H169" t="str">
        <v>6. Đồ vật &amp; Công cụ</v>
      </c>
    </row>
    <row r="170">
      <c r="A170">
        <v>173</v>
      </c>
      <c r="B170">
        <v>13</v>
      </c>
      <c r="C170" t="str">
        <v>我的邻居来自英国</v>
      </c>
      <c r="D170" t="str">
        <v>画家</v>
      </c>
      <c r="E170" t="str">
        <v>Danh từ</v>
      </c>
      <c r="F170" t="str">
        <v>huàjiā</v>
      </c>
      <c r="G170" t="str">
        <v>họa sĩ</v>
      </c>
      <c r="H170" t="str">
        <v>1. Con người &amp; Các mối quan hệ</v>
      </c>
    </row>
    <row r="171">
      <c r="A171">
        <v>174</v>
      </c>
      <c r="B171">
        <v>4</v>
      </c>
      <c r="C171" t="str">
        <v>这家宾馆跟别的都不一样</v>
      </c>
      <c r="D171" t="str">
        <v>欢迎</v>
      </c>
      <c r="E171" t="str">
        <v>Động từ</v>
      </c>
      <c r="F171" t="str">
        <v>huānyíng</v>
      </c>
      <c r="G171" t="str">
        <v>chào đón</v>
      </c>
      <c r="H171" t="str">
        <v>5. Đời sống sinh hoạt</v>
      </c>
    </row>
    <row r="172">
      <c r="A172">
        <v>175</v>
      </c>
      <c r="B172">
        <v>3</v>
      </c>
      <c r="C172" t="str">
        <v>这个小区挺好的</v>
      </c>
      <c r="D172" t="str">
        <v>还</v>
      </c>
      <c r="E172" t="str">
        <v>Động từ</v>
      </c>
      <c r="F172" t="str">
        <v>huán</v>
      </c>
      <c r="G172" t="str">
        <v>trả lại</v>
      </c>
      <c r="H172" t="str">
        <v>5. Đời sống sinh hoạt</v>
      </c>
    </row>
    <row r="173">
      <c r="A173">
        <v>176</v>
      </c>
      <c r="B173">
        <v>3</v>
      </c>
      <c r="C173" t="str">
        <v>这个小区挺好的</v>
      </c>
      <c r="D173" t="str">
        <v>环境</v>
      </c>
      <c r="E173" t="str">
        <v>Danh từ</v>
      </c>
      <c r="F173" t="str">
        <v>huánjìng</v>
      </c>
      <c r="G173" t="str">
        <v>môi trường</v>
      </c>
      <c r="H173" t="str">
        <v>7. Địa điểm &amp; Nơi chốn</v>
      </c>
    </row>
    <row r="174">
      <c r="A174">
        <v>177</v>
      </c>
      <c r="B174">
        <v>3</v>
      </c>
      <c r="C174" t="str">
        <v>这个小区挺好的</v>
      </c>
      <c r="D174" t="str">
        <v>换</v>
      </c>
      <c r="E174" t="str">
        <v>Động từ</v>
      </c>
      <c r="F174" t="str">
        <v>huàn</v>
      </c>
      <c r="G174" t="str">
        <v>đổi, thay đổi</v>
      </c>
      <c r="H174" t="str">
        <v>5. Đời sống sinh hoạt</v>
      </c>
    </row>
    <row r="175">
      <c r="A175">
        <v>178</v>
      </c>
      <c r="B175">
        <v>7</v>
      </c>
      <c r="C175" t="str">
        <v>那条裙子比短裤更好看</v>
      </c>
      <c r="D175" t="str">
        <v>黄色</v>
      </c>
      <c r="E175" t="str">
        <v>Danh từ</v>
      </c>
      <c r="F175" t="str">
        <v>huángsè</v>
      </c>
      <c r="G175" t="str">
        <v>màu vàng</v>
      </c>
      <c r="H175" t="str">
        <v>13. Miêu tả &amp; Đánh giá</v>
      </c>
    </row>
    <row r="176">
      <c r="A176">
        <v>179</v>
      </c>
      <c r="B176">
        <v>9</v>
      </c>
      <c r="C176" t="str">
        <v>打不好没有关系</v>
      </c>
      <c r="D176" t="str">
        <v>回</v>
      </c>
      <c r="E176" t="str">
        <v>Động từ</v>
      </c>
      <c r="F176" t="str">
        <v>huí</v>
      </c>
      <c r="G176" t="str">
        <v>về, quay lại</v>
      </c>
      <c r="H176" t="str">
        <v>10. Thời gian</v>
      </c>
    </row>
    <row r="177">
      <c r="A177">
        <v>180</v>
      </c>
      <c r="B177">
        <v>17</v>
      </c>
      <c r="D177" t="str">
        <v>回答</v>
      </c>
      <c r="E177" t="str">
        <v>Động từ</v>
      </c>
      <c r="F177" t="str">
        <v>huídá</v>
      </c>
      <c r="G177" t="str">
        <v>trả lời</v>
      </c>
      <c r="H177" t="str">
        <v>5. Đời sống sinh hoạt</v>
      </c>
    </row>
    <row r="178">
      <c r="A178">
        <v>181</v>
      </c>
      <c r="B178">
        <v>5</v>
      </c>
      <c r="C178" t="str">
        <v>这样的照片才好看</v>
      </c>
      <c r="D178" t="str">
        <v>会</v>
      </c>
      <c r="E178" t="str">
        <v>Danh từ</v>
      </c>
      <c r="F178" t="str">
        <v>huì</v>
      </c>
      <c r="G178" t="str">
        <v>biết (làm gì), sẽ</v>
      </c>
      <c r="H178" t="str">
        <v>4. Tư duy &amp; Nhận thức</v>
      </c>
    </row>
    <row r="179">
      <c r="A179">
        <v>182</v>
      </c>
      <c r="B179">
        <v>11</v>
      </c>
      <c r="C179" t="str">
        <v>看来我还没办法解决这个问题</v>
      </c>
      <c r="D179" t="str">
        <v>会议</v>
      </c>
      <c r="E179" t="str">
        <v>Danh từ</v>
      </c>
      <c r="F179" t="str">
        <v>huìyì</v>
      </c>
      <c r="G179" t="str">
        <v>cuộc họp</v>
      </c>
      <c r="H179" t="str">
        <v>1. Con người &amp; Các mối quan hệ</v>
      </c>
    </row>
    <row r="180">
      <c r="A180">
        <v>183</v>
      </c>
      <c r="B180">
        <v>11</v>
      </c>
      <c r="C180" t="str">
        <v>看来我还没办法解决这个问题</v>
      </c>
      <c r="D180" t="str">
        <v>或</v>
      </c>
      <c r="E180" t="str">
        <v>Phó từ, Liên từ</v>
      </c>
      <c r="F180" t="str">
        <v>huò</v>
      </c>
      <c r="G180" t="str">
        <v>hoặc</v>
      </c>
      <c r="H180" t="str">
        <v>15. Công cụ ngữ pháp &amp; Cấu trúc</v>
      </c>
    </row>
    <row r="181">
      <c r="A181">
        <v>184</v>
      </c>
      <c r="B181">
        <v>11</v>
      </c>
      <c r="C181" t="str">
        <v>看来我还没办法解决这个问题</v>
      </c>
      <c r="D181" t="str">
        <v>或者</v>
      </c>
      <c r="E181" t="str">
        <v>Liên từ</v>
      </c>
      <c r="F181" t="str">
        <v>huòzhě</v>
      </c>
      <c r="G181" t="str">
        <v>hoặc là</v>
      </c>
      <c r="H181" t="str">
        <v>15. Công cụ ngữ pháp &amp; Cấu trúc</v>
      </c>
    </row>
    <row r="182">
      <c r="A182">
        <v>185</v>
      </c>
      <c r="B182">
        <v>7</v>
      </c>
      <c r="C182" t="str">
        <v>那条裙子比短裤更好看</v>
      </c>
      <c r="D182" t="str">
        <v>极</v>
      </c>
      <c r="E182" t="str">
        <v>Phó từ</v>
      </c>
      <c r="F182" t="str">
        <v>jí</v>
      </c>
      <c r="G182" t="str">
        <v>cực kỳ</v>
      </c>
      <c r="H182" t="str">
        <v>15. Công cụ ngữ pháp &amp; Cấu trúc</v>
      </c>
    </row>
    <row r="183">
      <c r="A183">
        <v>186</v>
      </c>
      <c r="B183">
        <v>6</v>
      </c>
      <c r="C183" t="str">
        <v>高铁上还可以点外卖</v>
      </c>
      <c r="D183" t="str">
        <v>急</v>
      </c>
      <c r="E183" t="str">
        <v>Động từ, Tính từ</v>
      </c>
      <c r="F183" t="str">
        <v>jí</v>
      </c>
      <c r="G183" t="str">
        <v>gấp, vội</v>
      </c>
      <c r="H183" t="str">
        <v>5. Đời sống sinh hoạt</v>
      </c>
    </row>
    <row r="184">
      <c r="A184">
        <v>187</v>
      </c>
      <c r="B184">
        <v>2</v>
      </c>
      <c r="C184" t="str">
        <v>你们想吃什么就点什么</v>
      </c>
      <c r="D184" t="str">
        <v>记</v>
      </c>
      <c r="E184" t="str">
        <v>Động từ</v>
      </c>
      <c r="F184" t="str">
        <v>jì</v>
      </c>
      <c r="G184" t="str">
        <v>nhớ, ghi chép</v>
      </c>
      <c r="H184" t="str">
        <v>4. Tư duy &amp; Nhận thức</v>
      </c>
    </row>
    <row r="185">
      <c r="A185">
        <v>188</v>
      </c>
      <c r="B185">
        <v>17</v>
      </c>
      <c r="C185" t="str">
        <v>我要多向认真的人学习</v>
      </c>
      <c r="D185" t="str">
        <v>继续</v>
      </c>
      <c r="E185" t="str">
        <v>Động từ</v>
      </c>
      <c r="F185" t="str">
        <v>jìxù</v>
      </c>
      <c r="G185" t="str">
        <v>tiếp tục</v>
      </c>
      <c r="H185" t="str">
        <v>5. Đời sống sinh hoạt</v>
      </c>
    </row>
    <row r="186">
      <c r="A186">
        <v>189</v>
      </c>
      <c r="B186">
        <v>2</v>
      </c>
      <c r="C186" t="str">
        <v>你们想吃什么就点什么</v>
      </c>
      <c r="D186" t="str">
        <v>鸡</v>
      </c>
      <c r="E186" t="str">
        <v>Danh từ</v>
      </c>
      <c r="F186" t="str">
        <v>jī</v>
      </c>
      <c r="G186" t="str">
        <v>con gà</v>
      </c>
      <c r="H186" t="str">
        <v>6. Đồ vật &amp; Công cụ</v>
      </c>
    </row>
    <row r="187">
      <c r="A187">
        <v>190</v>
      </c>
      <c r="B187">
        <v>13</v>
      </c>
      <c r="C187" t="str">
        <v>我的邻居来自英国</v>
      </c>
      <c r="D187" t="str">
        <v>加</v>
      </c>
      <c r="E187" t="str">
        <v>Động từ</v>
      </c>
      <c r="F187" t="str">
        <v>jiā</v>
      </c>
      <c r="G187" t="str">
        <v>thêm, cộng</v>
      </c>
      <c r="H187" t="str">
        <v>5. Đời sống sinh hoạt</v>
      </c>
    </row>
    <row r="188">
      <c r="A188">
        <v>191</v>
      </c>
      <c r="B188">
        <v>6</v>
      </c>
      <c r="C188" t="str">
        <v>高铁上还可以点外卖</v>
      </c>
      <c r="D188" t="str">
        <v>检查</v>
      </c>
      <c r="E188" t="str">
        <v>Động từ</v>
      </c>
      <c r="F188" t="str">
        <v>jiǎnchá</v>
      </c>
      <c r="G188" t="str">
        <v>kiểm tra</v>
      </c>
      <c r="H188" t="str">
        <v>4. Tư duy &amp; Nhận thức</v>
      </c>
    </row>
    <row r="189">
      <c r="A189">
        <v>192</v>
      </c>
      <c r="B189">
        <v>18</v>
      </c>
      <c r="C189" t="str">
        <v>我学会了包饺子</v>
      </c>
      <c r="D189" t="str">
        <v>坚持</v>
      </c>
      <c r="E189" t="str">
        <v>Động từ</v>
      </c>
      <c r="F189" t="str">
        <v>jiānchí</v>
      </c>
      <c r="G189" t="str">
        <v>kiên trì</v>
      </c>
      <c r="H189" t="str">
        <v>5. Đời sống sinh hoạt</v>
      </c>
    </row>
    <row r="190">
      <c r="A190">
        <v>193</v>
      </c>
      <c r="B190">
        <v>2</v>
      </c>
      <c r="C190" t="str">
        <v>你们想吃什么就点什么</v>
      </c>
      <c r="D190" t="str">
        <v>简单</v>
      </c>
      <c r="E190" t="str">
        <v>Tính từ</v>
      </c>
      <c r="F190" t="str">
        <v>jiǎndān</v>
      </c>
      <c r="G190" t="str">
        <v>đơn giản</v>
      </c>
      <c r="H190" t="str">
        <v>13. Miêu tả &amp; Đánh giá</v>
      </c>
    </row>
    <row r="191">
      <c r="A191">
        <v>194</v>
      </c>
      <c r="B191">
        <v>10</v>
      </c>
      <c r="C191" t="str">
        <v>你明天再把书还给我</v>
      </c>
      <c r="D191" t="str">
        <v>讲</v>
      </c>
      <c r="E191" t="str">
        <v>Động từ</v>
      </c>
      <c r="F191" t="str">
        <v>jiǎng</v>
      </c>
      <c r="G191" t="str">
        <v>nói, giảng giải</v>
      </c>
      <c r="H191" t="str">
        <v>5. Đời sống sinh hoạt</v>
      </c>
    </row>
    <row r="192">
      <c r="A192">
        <v>195</v>
      </c>
      <c r="B192">
        <v>8</v>
      </c>
      <c r="C192" t="str">
        <v>今天我出院了</v>
      </c>
      <c r="D192" t="str">
        <v>健康</v>
      </c>
      <c r="E192" t="str">
        <v>Tính từ</v>
      </c>
      <c r="F192" t="str">
        <v>jiànkāng</v>
      </c>
      <c r="G192" t="str">
        <v>khỏe mạnh</v>
      </c>
      <c r="H192" t="str">
        <v>2. Cơ thể &amp; Sức khỏe</v>
      </c>
    </row>
    <row r="193">
      <c r="A193">
        <v>196</v>
      </c>
      <c r="B193">
        <v>18</v>
      </c>
      <c r="C193" t="str">
        <v>我学会了包饺子</v>
      </c>
      <c r="D193" t="str">
        <v>见面</v>
      </c>
      <c r="E193" t="str">
        <v>Động từ</v>
      </c>
      <c r="F193" t="str">
        <v>jiànmiàn</v>
      </c>
      <c r="G193" t="str">
        <v>gặp mặt</v>
      </c>
      <c r="H193" t="str">
        <v>5. Đời sống sinh hoạt</v>
      </c>
    </row>
    <row r="194">
      <c r="A194">
        <v>197</v>
      </c>
      <c r="B194">
        <v>6</v>
      </c>
      <c r="C194" t="str">
        <v>高铁上还可以点外卖</v>
      </c>
      <c r="D194" t="str">
        <v>检票</v>
      </c>
      <c r="E194" t="str">
        <v>Động từ</v>
      </c>
      <c r="F194" t="str">
        <v>jiǎnpiào</v>
      </c>
      <c r="G194" t="str">
        <v>soát vé</v>
      </c>
      <c r="H194" t="str">
        <v>5. Đời sống sinh hoạt</v>
      </c>
    </row>
    <row r="195">
      <c r="A195">
        <v>198</v>
      </c>
      <c r="D195" t="str">
        <v>角</v>
      </c>
      <c r="E195" t="str">
        <v>Lượng từ</v>
      </c>
      <c r="F195" t="str">
        <v>jiǎo</v>
      </c>
      <c r="G195" t="str">
        <v>hào (đơn vị tiền)</v>
      </c>
      <c r="H195" t="str">
        <v>15. Công cụ ngữ pháp &amp; Cấu trúc</v>
      </c>
    </row>
    <row r="196">
      <c r="A196">
        <v>199</v>
      </c>
      <c r="B196">
        <v>16</v>
      </c>
      <c r="C196" t="str">
        <v>我听说有的熊猫出国了</v>
      </c>
      <c r="D196" t="str">
        <v>脚</v>
      </c>
      <c r="E196" t="str">
        <v>Danh từ</v>
      </c>
      <c r="F196" t="str">
        <v>jiǎo</v>
      </c>
      <c r="G196" t="str">
        <v>bàn chân</v>
      </c>
      <c r="H196" t="str">
        <v>1. Con người &amp; Các mối quan hệ</v>
      </c>
    </row>
    <row r="197">
      <c r="A197">
        <v>200</v>
      </c>
      <c r="B197">
        <v>4</v>
      </c>
      <c r="C197" t="str">
        <v>这家宾馆跟别的都不一样</v>
      </c>
      <c r="D197" t="str">
        <v>假期</v>
      </c>
      <c r="E197" t="str">
        <v>Danh từ</v>
      </c>
      <c r="F197" t="str">
        <v>jiàqī</v>
      </c>
      <c r="G197" t="str">
        <v>kỳ nghỉ</v>
      </c>
      <c r="H197" t="str">
        <v>10. Thời gian</v>
      </c>
    </row>
    <row r="198">
      <c r="A198">
        <v>201</v>
      </c>
      <c r="B198" t="str">
        <v>14, 18</v>
      </c>
      <c r="C198" t="str">
        <v>这本书被别人借走了；我学会了包饺子</v>
      </c>
      <c r="D198" t="str">
        <v>节</v>
      </c>
      <c r="E198" t="str">
        <v>Lượng từ, Danh từ, Động từ</v>
      </c>
      <c r="F198" t="str">
        <v>jié</v>
      </c>
      <c r="G198" t="str">
        <v>tiết (học), ngày lễ</v>
      </c>
      <c r="H198" t="str">
        <v>15. Công cụ ngữ pháp &amp; Cấu trúc</v>
      </c>
    </row>
    <row r="199">
      <c r="A199">
        <v>202</v>
      </c>
      <c r="B199">
        <v>12</v>
      </c>
      <c r="C199" t="str">
        <v>这个季节天气变化很快</v>
      </c>
      <c r="D199" t="str">
        <v>借</v>
      </c>
      <c r="E199" t="str">
        <v>Động từ</v>
      </c>
      <c r="F199" t="str">
        <v>jiè</v>
      </c>
      <c r="G199" t="str">
        <v>mượn, cho mượn</v>
      </c>
      <c r="H199" t="str">
        <v>5. Đời sống sinh hoạt</v>
      </c>
    </row>
    <row r="200">
      <c r="A200">
        <v>203</v>
      </c>
      <c r="B200">
        <v>1</v>
      </c>
      <c r="C200" t="str">
        <v>我们去机场接你们</v>
      </c>
      <c r="D200" t="str">
        <v>接</v>
      </c>
      <c r="E200" t="str">
        <v>Động từ</v>
      </c>
      <c r="F200" t="str">
        <v>jiē</v>
      </c>
      <c r="G200" t="str">
        <v>đón, tiếp nhận</v>
      </c>
      <c r="H200" t="str">
        <v>5. Đời sống sinh hoạt</v>
      </c>
    </row>
    <row r="201">
      <c r="A201">
        <v>204</v>
      </c>
      <c r="B201">
        <v>12</v>
      </c>
      <c r="C201" t="str">
        <v>这个季节天气变化很快</v>
      </c>
      <c r="D201" t="str">
        <v>街</v>
      </c>
      <c r="E201" t="str">
        <v>Danh từ</v>
      </c>
      <c r="F201" t="str">
        <v>jiē</v>
      </c>
      <c r="G201" t="str">
        <v>đường phố</v>
      </c>
      <c r="H201" t="str">
        <v>8. Giao thông &amp; Di chuyển</v>
      </c>
    </row>
    <row r="202">
      <c r="A202">
        <v>205</v>
      </c>
      <c r="B202">
        <v>7</v>
      </c>
      <c r="C202" t="str">
        <v>那条裙子比短裤更好看</v>
      </c>
      <c r="D202" t="str">
        <v>结婚</v>
      </c>
      <c r="E202" t="str">
        <v>Động từ</v>
      </c>
      <c r="F202" t="str">
        <v>jiéhūn</v>
      </c>
      <c r="G202" t="str">
        <v>kết hôn</v>
      </c>
      <c r="H202" t="str">
        <v>5. Đời sống sinh hoạt</v>
      </c>
    </row>
    <row r="203">
      <c r="A203">
        <v>206</v>
      </c>
      <c r="B203">
        <v>11</v>
      </c>
      <c r="C203" t="str">
        <v>看来我还没办法解决这个问题</v>
      </c>
      <c r="D203" t="str">
        <v>解决</v>
      </c>
      <c r="E203" t="str">
        <v>Động từ</v>
      </c>
      <c r="F203" t="str">
        <v>jiějué</v>
      </c>
      <c r="G203" t="str">
        <v>giải quyết</v>
      </c>
      <c r="H203" t="str">
        <v>4. Tư duy &amp; Nhận thức</v>
      </c>
    </row>
    <row r="204">
      <c r="A204">
        <v>207</v>
      </c>
      <c r="D204" t="str">
        <v>姐妹</v>
      </c>
      <c r="E204" t="str">
        <v>Danh từ</v>
      </c>
      <c r="F204" t="str">
        <v>jiěmèi</v>
      </c>
      <c r="G204" t="str">
        <v>chị em</v>
      </c>
      <c r="H204" t="str">
        <v>1. Con người &amp; Các mối quan hệ</v>
      </c>
    </row>
    <row r="205">
      <c r="A205">
        <v>208</v>
      </c>
      <c r="B205">
        <v>14</v>
      </c>
      <c r="C205" t="str">
        <v>这本书被别人借走了</v>
      </c>
      <c r="D205" t="str">
        <v>节目</v>
      </c>
      <c r="E205" t="str">
        <v>Danh từ</v>
      </c>
      <c r="F205" t="str">
        <v>jiémù</v>
      </c>
      <c r="G205" t="str">
        <v>chương trình</v>
      </c>
      <c r="H205" t="str">
        <v>6. Đồ vật &amp; Công cụ</v>
      </c>
    </row>
    <row r="206">
      <c r="A206">
        <v>209</v>
      </c>
      <c r="B206">
        <v>18</v>
      </c>
      <c r="C206" t="str">
        <v>我学会了包饺子</v>
      </c>
      <c r="D206" t="str">
        <v>节日</v>
      </c>
      <c r="E206" t="str">
        <v>Danh từ</v>
      </c>
      <c r="F206" t="str">
        <v>jiérì</v>
      </c>
      <c r="G206" t="str">
        <v>ngày lễ</v>
      </c>
      <c r="H206" t="str">
        <v>6. Đồ vật &amp; Công cụ</v>
      </c>
    </row>
    <row r="207">
      <c r="A207">
        <v>210</v>
      </c>
      <c r="B207">
        <v>5</v>
      </c>
      <c r="C207" t="str">
        <v>这样的照片才好看</v>
      </c>
      <c r="D207" t="str">
        <v>结束</v>
      </c>
      <c r="E207" t="str">
        <v>Danh từ</v>
      </c>
      <c r="F207" t="str">
        <v>jiéshù</v>
      </c>
      <c r="G207" t="str">
        <v>kết thúc</v>
      </c>
      <c r="H207" t="str">
        <v>6. Đồ vật &amp; Công cụ</v>
      </c>
    </row>
    <row r="208">
      <c r="A208">
        <v>211</v>
      </c>
      <c r="B208">
        <v>9</v>
      </c>
      <c r="C208" t="str">
        <v>打不好没关系</v>
      </c>
      <c r="D208" t="str">
        <v>几乎</v>
      </c>
      <c r="E208" t="str">
        <v>Phó từ</v>
      </c>
      <c r="F208" t="str">
        <v>jīhū</v>
      </c>
      <c r="G208" t="str">
        <v>hầu như</v>
      </c>
      <c r="H208" t="str">
        <v>15. Công cụ ngữ pháp &amp; Cấu trúc</v>
      </c>
    </row>
    <row r="209">
      <c r="A209">
        <v>212</v>
      </c>
      <c r="B209">
        <v>11</v>
      </c>
      <c r="C209" t="str">
        <v>看来我还没办法解决这个问题</v>
      </c>
      <c r="D209" t="str">
        <v>机会</v>
      </c>
      <c r="E209" t="str">
        <v>Danh từ</v>
      </c>
      <c r="F209" t="str">
        <v>jīhuì</v>
      </c>
      <c r="G209" t="str">
        <v>cơ hội</v>
      </c>
      <c r="H209" t="str">
        <v>6. Đồ vật &amp; Công cụ</v>
      </c>
    </row>
    <row r="210">
      <c r="A210">
        <v>213</v>
      </c>
      <c r="B210">
        <v>12</v>
      </c>
      <c r="C210" t="str">
        <v>这个季节天气变化很快</v>
      </c>
      <c r="D210" t="str">
        <v>季节</v>
      </c>
      <c r="E210" t="str">
        <v>Danh từ</v>
      </c>
      <c r="F210" t="str">
        <v>jìjié</v>
      </c>
      <c r="G210" t="str">
        <v>mùa</v>
      </c>
      <c r="H210" t="str">
        <v>10. Thời gian</v>
      </c>
    </row>
    <row r="211">
      <c r="A211">
        <v>214</v>
      </c>
      <c r="B211">
        <v>7</v>
      </c>
      <c r="C211" t="str">
        <v>那条裙子比短裤更好看</v>
      </c>
      <c r="D211" t="str">
        <v>斤</v>
      </c>
      <c r="E211" t="str">
        <v>Lượng từ</v>
      </c>
      <c r="F211" t="str">
        <v>jīn</v>
      </c>
      <c r="G211" t="str">
        <v>cân (đơn vị khối lượng)</v>
      </c>
      <c r="H211" t="str">
        <v>15. Công cụ ngữ pháp &amp; Cấu trúc</v>
      </c>
    </row>
    <row r="212">
      <c r="A212">
        <v>215</v>
      </c>
      <c r="B212">
        <v>15</v>
      </c>
      <c r="C212" t="str">
        <v>我是半个南京人</v>
      </c>
      <c r="D212" t="str">
        <v>经过</v>
      </c>
      <c r="E212" t="str">
        <v>Danh từ, Động từ</v>
      </c>
      <c r="F212" t="str">
        <v>jīngguò</v>
      </c>
      <c r="G212" t="str">
        <v>trải qua, đi qua</v>
      </c>
      <c r="H212" t="str">
        <v>10. Thời gian</v>
      </c>
    </row>
    <row r="213">
      <c r="A213">
        <v>216</v>
      </c>
      <c r="B213">
        <v>11</v>
      </c>
      <c r="C213" t="str">
        <v>看来我还没办法解决这个问题</v>
      </c>
      <c r="D213" t="str">
        <v>经理</v>
      </c>
      <c r="E213" t="str">
        <v>Danh từ</v>
      </c>
      <c r="F213" t="str">
        <v>jīnglǐ</v>
      </c>
      <c r="G213" t="str">
        <v>giám đốc, quản lý</v>
      </c>
      <c r="H213" t="str">
        <v>5. Đời sống sinh hoạt</v>
      </c>
    </row>
    <row r="214">
      <c r="A214">
        <v>217</v>
      </c>
      <c r="B214">
        <v>7</v>
      </c>
      <c r="C214" t="str">
        <v>那条裙子比短裤更好看</v>
      </c>
      <c r="D214" t="str">
        <v>旧</v>
      </c>
      <c r="E214" t="str">
        <v>Tính từ</v>
      </c>
      <c r="F214" t="str">
        <v>jiù</v>
      </c>
      <c r="G214" t="str">
        <v>cũ</v>
      </c>
      <c r="H214" t="str">
        <v>13. Miêu tả &amp; Đánh giá</v>
      </c>
    </row>
    <row r="215">
      <c r="A215">
        <v>218</v>
      </c>
      <c r="B215">
        <v>4</v>
      </c>
      <c r="C215" t="str">
        <v>这家宾馆跟别的都不一样</v>
      </c>
      <c r="D215" t="str">
        <v>久</v>
      </c>
      <c r="E215" t="str">
        <v>Tính từ</v>
      </c>
      <c r="F215" t="str">
        <v>jiǔ</v>
      </c>
      <c r="G215" t="str">
        <v>lâu</v>
      </c>
      <c r="H215" t="str">
        <v>13. Miêu tả &amp; Đánh giá</v>
      </c>
    </row>
    <row r="216">
      <c r="A216">
        <v>219</v>
      </c>
      <c r="B216">
        <v>13</v>
      </c>
      <c r="C216" t="str">
        <v>我的邻居来自英国</v>
      </c>
      <c r="D216" t="str">
        <v>酒</v>
      </c>
      <c r="E216" t="str">
        <v>Danh từ</v>
      </c>
      <c r="F216" t="str">
        <v>jiǔ</v>
      </c>
      <c r="G216" t="str">
        <v>rượu</v>
      </c>
      <c r="H216" t="str">
        <v>6. Đồ vật &amp; Công cụ</v>
      </c>
    </row>
    <row r="217">
      <c r="A217">
        <v>220</v>
      </c>
      <c r="B217">
        <v>10</v>
      </c>
      <c r="C217" t="str">
        <v>你明天再把书还给我</v>
      </c>
      <c r="D217" t="str">
        <v>句</v>
      </c>
      <c r="E217" t="str">
        <v>Lượng từ</v>
      </c>
      <c r="F217" t="str">
        <v>jù</v>
      </c>
      <c r="G217" t="str">
        <v>lượng từ cho câu</v>
      </c>
      <c r="H217" t="str">
        <v>15. Công cụ ngữ pháp &amp; Cấu trúc</v>
      </c>
    </row>
    <row r="218">
      <c r="A218">
        <v>221</v>
      </c>
      <c r="B218">
        <v>7</v>
      </c>
      <c r="C218" t="str">
        <v>那条裙子比短裤更好看</v>
      </c>
      <c r="D218" t="str">
        <v>决定</v>
      </c>
      <c r="E218" t="str">
        <v>Danh từ, Động từ</v>
      </c>
      <c r="F218" t="str">
        <v>juédìng</v>
      </c>
      <c r="G218" t="str">
        <v>quyết định</v>
      </c>
      <c r="H218" t="str">
        <v>4. Tư duy &amp; Nhận thức</v>
      </c>
    </row>
    <row r="219">
      <c r="A219">
        <v>222</v>
      </c>
      <c r="B219">
        <v>10</v>
      </c>
      <c r="C219" t="str">
        <v>你明天再把书还给我</v>
      </c>
      <c r="D219" t="str">
        <v>句子</v>
      </c>
      <c r="E219" t="str">
        <v>Danh từ</v>
      </c>
      <c r="F219" t="str">
        <v>jùzi</v>
      </c>
      <c r="G219" t="str">
        <v>câu</v>
      </c>
      <c r="H219" t="str">
        <v>6. Đồ vật &amp; Công cụ</v>
      </c>
    </row>
    <row r="220">
      <c r="A220">
        <v>223</v>
      </c>
      <c r="B220">
        <v>9</v>
      </c>
      <c r="C220" t="str">
        <v>打不好没有关系</v>
      </c>
      <c r="D220" t="str">
        <v>卡</v>
      </c>
      <c r="E220" t="str">
        <v>Danh từ</v>
      </c>
      <c r="F220" t="str">
        <v>kǎ</v>
      </c>
      <c r="G220" t="str">
        <v>Thẻ (card)</v>
      </c>
      <c r="H220" t="str">
        <v>5. Đời sống sinh hoạt</v>
      </c>
    </row>
    <row r="221">
      <c r="A221">
        <v>224</v>
      </c>
      <c r="B221">
        <v>12</v>
      </c>
      <c r="C221" t="str">
        <v>这个季节天气变化很快</v>
      </c>
      <c r="D221" t="str">
        <v>开花</v>
      </c>
      <c r="E221" t="str">
        <v>Động từ</v>
      </c>
      <c r="F221" t="str">
        <v>kāihuā</v>
      </c>
      <c r="G221" t="str">
        <v>Nở hoa</v>
      </c>
      <c r="H221" t="str">
        <v>6. Đồ vật &amp; Công cụ</v>
      </c>
    </row>
    <row r="222">
      <c r="A222">
        <v>225</v>
      </c>
      <c r="B222">
        <v>11</v>
      </c>
      <c r="C222" t="str">
        <v>看来我还没办法解决这个问题</v>
      </c>
      <c r="D222" t="str">
        <v>开会</v>
      </c>
      <c r="E222" t="str">
        <v>Động từ</v>
      </c>
      <c r="F222" t="str">
        <v>kāihuì</v>
      </c>
      <c r="G222" t="str">
        <v>Họp, mở cuộc họp</v>
      </c>
      <c r="H222" t="str">
        <v>1. Con người &amp; Các mối quan hệ</v>
      </c>
    </row>
    <row r="223">
      <c r="A223">
        <v>226</v>
      </c>
      <c r="B223">
        <v>7</v>
      </c>
      <c r="C223" t="str">
        <v>那条裙子比短裤更好看</v>
      </c>
      <c r="D223" t="str">
        <v>开机</v>
      </c>
      <c r="E223" t="str">
        <v>Động từ</v>
      </c>
      <c r="F223" t="str">
        <v>kāijī</v>
      </c>
      <c r="G223" t="str">
        <v>Khởi động máy, bật máy</v>
      </c>
      <c r="H223" t="str">
        <v>6. Đồ vật &amp; Công cụ</v>
      </c>
    </row>
    <row r="224">
      <c r="A224">
        <v>227</v>
      </c>
      <c r="B224">
        <v>8</v>
      </c>
      <c r="C224" t="str">
        <v>今天我出院了</v>
      </c>
      <c r="D224" t="str">
        <v>开心</v>
      </c>
      <c r="E224" t="str">
        <v>Tính từ</v>
      </c>
      <c r="F224" t="str">
        <v>kāixīn</v>
      </c>
      <c r="G224" t="str">
        <v>Vui vẻ</v>
      </c>
      <c r="H224" t="str">
        <v>3. Cảm xúc &amp; Thái độ</v>
      </c>
    </row>
    <row r="225">
      <c r="A225">
        <v>228</v>
      </c>
      <c r="B225">
        <v>11</v>
      </c>
      <c r="C225" t="str">
        <v>看来我还没办法解决这个问题</v>
      </c>
      <c r="D225" t="str">
        <v>看来</v>
      </c>
      <c r="E225" t="str">
        <v>Động từ</v>
      </c>
      <c r="F225" t="str">
        <v>kànlái</v>
      </c>
      <c r="G225" t="str">
        <v>Xem ra, có vẻ như</v>
      </c>
      <c r="H225" t="str">
        <v>1. Con người &amp; Các mối quan hệ</v>
      </c>
    </row>
    <row r="226">
      <c r="A226">
        <v>229</v>
      </c>
      <c r="B226">
        <v>4</v>
      </c>
      <c r="C226" t="str">
        <v>这家宾馆跟别的都不一样</v>
      </c>
      <c r="D226" t="str">
        <v>刻</v>
      </c>
      <c r="E226" t="str">
        <v>Lượng từ, Động từ</v>
      </c>
      <c r="F226" t="str">
        <v>kè</v>
      </c>
      <c r="G226" t="str">
        <v>Khắc / 15 phút (một khắc)</v>
      </c>
      <c r="H226" t="str">
        <v>15. Công cụ ngữ pháp &amp; Cấu trúc</v>
      </c>
    </row>
    <row r="227">
      <c r="A227">
        <v>230</v>
      </c>
      <c r="B227">
        <v>17</v>
      </c>
      <c r="C227" t="str">
        <v>我要多向认真的人学习</v>
      </c>
      <c r="D227" t="str">
        <v>可</v>
      </c>
      <c r="E227" t="str">
        <v>Liên từ, Phó từ</v>
      </c>
      <c r="F227" t="str">
        <v>kě</v>
      </c>
      <c r="G227" t="str">
        <v>Có thể / Khá là...</v>
      </c>
      <c r="H227" t="str">
        <v>15. Công cụ ngữ pháp &amp; Cấu trúc</v>
      </c>
    </row>
    <row r="228">
      <c r="A228">
        <v>231</v>
      </c>
      <c r="B228">
        <v>2</v>
      </c>
      <c r="C228" t="str">
        <v>你们想吃什么就点什么</v>
      </c>
      <c r="D228" t="str">
        <v>渴</v>
      </c>
      <c r="E228" t="str">
        <v>Tính từ</v>
      </c>
      <c r="F228" t="str">
        <v>kě</v>
      </c>
      <c r="G228" t="str">
        <v>Khát (nước)</v>
      </c>
      <c r="H228" t="str">
        <v>5. Đời sống sinh hoạt</v>
      </c>
    </row>
    <row r="229">
      <c r="A229">
        <v>232</v>
      </c>
      <c r="B229">
        <v>16</v>
      </c>
      <c r="C229" t="str">
        <v>我听说有的熊猫出国了</v>
      </c>
      <c r="D229" t="str">
        <v>可爱</v>
      </c>
      <c r="E229" t="str">
        <v>Tính từ</v>
      </c>
      <c r="F229" t="str">
        <v>kě'ài</v>
      </c>
      <c r="G229" t="str">
        <v>Đáng yêu, dễ thương</v>
      </c>
      <c r="H229" t="str">
        <v>3. Cảm xúc &amp; Thái độ</v>
      </c>
    </row>
    <row r="230">
      <c r="A230">
        <v>233</v>
      </c>
      <c r="D230" t="str">
        <v>课本</v>
      </c>
      <c r="E230" t="str">
        <v>Danh từ</v>
      </c>
      <c r="F230" t="str">
        <v>kèběn</v>
      </c>
      <c r="G230" t="str">
        <v>Sách giáo khoa</v>
      </c>
      <c r="H230" t="str">
        <v>5. Đời sống sinh hoạt</v>
      </c>
    </row>
    <row r="231">
      <c r="A231">
        <v>234</v>
      </c>
      <c r="B231">
        <v>13</v>
      </c>
      <c r="C231" t="str">
        <v>我的邻居来自英国</v>
      </c>
      <c r="D231" t="str">
        <v>客人</v>
      </c>
      <c r="E231" t="str">
        <v>Danh từ</v>
      </c>
      <c r="F231" t="str">
        <v>kèrén</v>
      </c>
      <c r="G231" t="str">
        <v>Khách, khách khứa</v>
      </c>
      <c r="H231" t="str">
        <v>1. Con người &amp; Các mối quan hệ</v>
      </c>
    </row>
    <row r="232">
      <c r="A232">
        <v>235</v>
      </c>
      <c r="B232">
        <v>15</v>
      </c>
      <c r="C232" t="str">
        <v>我是半个南京人</v>
      </c>
      <c r="D232" t="str">
        <v>可是</v>
      </c>
      <c r="E232" t="str">
        <v>Liên từ</v>
      </c>
      <c r="F232" t="str">
        <v>kěshì</v>
      </c>
      <c r="G232" t="str">
        <v>Nhưng, nhưng mà</v>
      </c>
      <c r="H232" t="str">
        <v>15. Công cụ ngữ pháp &amp; Cấu trúc</v>
      </c>
    </row>
    <row r="233">
      <c r="A233">
        <v>236</v>
      </c>
      <c r="D233" t="str">
        <v>课文</v>
      </c>
      <c r="E233" t="str">
        <v>Danh từ</v>
      </c>
      <c r="F233" t="str">
        <v>kèwén</v>
      </c>
      <c r="G233" t="str">
        <v>Bài đọc, bài văn trong giáo trình</v>
      </c>
      <c r="H233" t="str">
        <v>1. Con người &amp; Các mối quan hệ</v>
      </c>
    </row>
    <row r="234">
      <c r="A234">
        <v>237</v>
      </c>
      <c r="B234">
        <v>3</v>
      </c>
      <c r="C234" t="str">
        <v>这个小区挺好的</v>
      </c>
      <c r="D234" t="str">
        <v>空调</v>
      </c>
      <c r="E234" t="str">
        <v>Danh từ</v>
      </c>
      <c r="F234" t="str">
        <v>kōngtiáo</v>
      </c>
      <c r="G234" t="str">
        <v>Máy điều hòa nhiệt độ</v>
      </c>
      <c r="H234" t="str">
        <v>6. Đồ vật &amp; Công cụ</v>
      </c>
    </row>
    <row r="235">
      <c r="A235">
        <v>238</v>
      </c>
      <c r="D235" t="str">
        <v>哭</v>
      </c>
      <c r="E235" t="str">
        <v>Động từ</v>
      </c>
      <c r="F235" t="str">
        <v>kū</v>
      </c>
      <c r="G235" t="str">
        <v>Khóc</v>
      </c>
      <c r="H235" t="str">
        <v>3. Cảm xúc &amp; Thái độ</v>
      </c>
    </row>
    <row r="236">
      <c r="A236">
        <v>239</v>
      </c>
      <c r="D236" t="str">
        <v>筷子</v>
      </c>
      <c r="E236" t="str">
        <v>Danh từ</v>
      </c>
      <c r="F236" t="str">
        <v>kuàizi</v>
      </c>
      <c r="G236" t="str">
        <v>Đôi đũa</v>
      </c>
      <c r="H236" t="str">
        <v>6. Đồ vật &amp; Công cụ</v>
      </c>
    </row>
    <row r="237">
      <c r="A237">
        <v>240</v>
      </c>
      <c r="B237">
        <v>18</v>
      </c>
      <c r="C237" t="str">
        <v>我学会了包饺子</v>
      </c>
      <c r="D237" t="str">
        <v>矿泉水</v>
      </c>
      <c r="E237" t="str">
        <v>Danh từ</v>
      </c>
      <c r="F237" t="str">
        <v>kuàngquánshuǐ</v>
      </c>
      <c r="G237" t="str">
        <v>Nước khoáng</v>
      </c>
      <c r="H237" t="str">
        <v>5. Đời sống sinh hoạt</v>
      </c>
    </row>
    <row r="238">
      <c r="A238">
        <v>241</v>
      </c>
      <c r="B238">
        <v>13</v>
      </c>
      <c r="C238" t="str">
        <v>我的邻居来自英国</v>
      </c>
      <c r="D238" t="str">
        <v>来自</v>
      </c>
      <c r="E238" t="str">
        <v>Động từ</v>
      </c>
      <c r="F238" t="str">
        <v>láizì</v>
      </c>
      <c r="G238" t="str">
        <v>Đến từ</v>
      </c>
      <c r="H238" t="str">
        <v>8. Giao thông &amp; Di chuyển</v>
      </c>
    </row>
    <row r="239">
      <c r="A239">
        <v>242</v>
      </c>
      <c r="B239">
        <v>15</v>
      </c>
      <c r="C239" t="str">
        <v>我是半个南京人</v>
      </c>
      <c r="D239" t="str">
        <v>蓝</v>
      </c>
      <c r="E239" t="str">
        <v>Tính từ</v>
      </c>
      <c r="F239" t="str">
        <v>lán</v>
      </c>
      <c r="G239" t="str">
        <v>Màu xanh lam</v>
      </c>
      <c r="H239" t="str">
        <v>1. Con người &amp; Các mối quan hệ</v>
      </c>
    </row>
    <row r="240">
      <c r="A240">
        <v>243</v>
      </c>
      <c r="B240">
        <v>15</v>
      </c>
      <c r="C240" t="str">
        <v>我是半个南京人</v>
      </c>
      <c r="D240" t="str">
        <v>老人</v>
      </c>
      <c r="E240" t="str">
        <v>Danh từ</v>
      </c>
      <c r="F240" t="str">
        <v>lǎorén</v>
      </c>
      <c r="G240" t="str">
        <v>Người già</v>
      </c>
      <c r="H240" t="str">
        <v>1. Con người &amp; Các mối quan hệ</v>
      </c>
    </row>
    <row r="241">
      <c r="A241">
        <v>244</v>
      </c>
      <c r="B241">
        <v>9</v>
      </c>
      <c r="C241" t="str">
        <v>打不好没关系</v>
      </c>
      <c r="D241" t="str">
        <v>练</v>
      </c>
      <c r="E241" t="str">
        <v>Động từ</v>
      </c>
      <c r="F241" t="str">
        <v>liàn</v>
      </c>
      <c r="G241" t="str">
        <v>Luyện tập, rèn luyện</v>
      </c>
      <c r="H241" t="str">
        <v>4. Tư duy &amp; Nhận thức</v>
      </c>
    </row>
    <row r="242">
      <c r="A242">
        <v>245</v>
      </c>
      <c r="B242">
        <v>16</v>
      </c>
      <c r="C242" t="str">
        <v>我听说有的熊猫出国了</v>
      </c>
      <c r="D242" t="str">
        <v>脸</v>
      </c>
      <c r="E242" t="str">
        <v>Danh từ</v>
      </c>
      <c r="F242" t="str">
        <v>liǎn</v>
      </c>
      <c r="G242" t="str">
        <v>Khuôn mặt</v>
      </c>
      <c r="H242" t="str">
        <v>6. Đồ vật &amp; Công cụ</v>
      </c>
    </row>
    <row r="243">
      <c r="A243">
        <v>246</v>
      </c>
      <c r="B243">
        <v>7</v>
      </c>
      <c r="C243" t="str">
        <v>那条裙子比短裤更好看</v>
      </c>
      <c r="D243" t="str">
        <v>辆</v>
      </c>
      <c r="E243" t="str">
        <v>Lượng từ</v>
      </c>
      <c r="F243" t="str">
        <v>liàng</v>
      </c>
      <c r="G243" t="str">
        <v>Chiếc, cái (dùng cho xe cộ)</v>
      </c>
      <c r="H243" t="str">
        <v>14. Số lượng &amp; Đo lường</v>
      </c>
    </row>
    <row r="244">
      <c r="A244">
        <v>247</v>
      </c>
      <c r="B244">
        <v>12</v>
      </c>
      <c r="C244" t="str">
        <v>这个季节天气变化很快</v>
      </c>
      <c r="D244" t="str">
        <v>凉快</v>
      </c>
      <c r="E244" t="str">
        <v>Tính từ</v>
      </c>
      <c r="F244" t="str">
        <v>liángkuai</v>
      </c>
      <c r="G244" t="str">
        <v>Mát mẻ</v>
      </c>
      <c r="H244" t="str">
        <v>13. Miêu tả &amp; Đánh giá</v>
      </c>
    </row>
    <row r="245">
      <c r="A245">
        <v>248</v>
      </c>
      <c r="B245">
        <v>9</v>
      </c>
      <c r="C245" t="str">
        <v>打不好没关系</v>
      </c>
      <c r="D245" t="str">
        <v>练习</v>
      </c>
      <c r="E245" t="str">
        <v>Danh từ, Động từ</v>
      </c>
      <c r="F245" t="str">
        <v>liànxí</v>
      </c>
      <c r="G245" t="str">
        <v>Luyện tập, bài tập</v>
      </c>
      <c r="H245" t="str">
        <v>1. Con người &amp; Các mối quan hệ</v>
      </c>
    </row>
    <row r="246">
      <c r="A246">
        <v>249</v>
      </c>
      <c r="B246">
        <v>15</v>
      </c>
      <c r="C246" t="str">
        <v>我是半个南京人</v>
      </c>
      <c r="D246" t="str">
        <v>聊</v>
      </c>
      <c r="E246" t="str">
        <v>Động từ</v>
      </c>
      <c r="F246" t="str">
        <v>liáo</v>
      </c>
      <c r="G246" t="str">
        <v>Tán gẫu, trò chuyện</v>
      </c>
      <c r="H246" t="str">
        <v>5. Đời sống sinh hoạt</v>
      </c>
    </row>
    <row r="247">
      <c r="A247">
        <v>250</v>
      </c>
      <c r="B247">
        <v>15</v>
      </c>
      <c r="C247" t="str">
        <v>我是半个南京人</v>
      </c>
      <c r="D247" t="str">
        <v>了解</v>
      </c>
      <c r="E247" t="str">
        <v>Động từ</v>
      </c>
      <c r="F247" t="str">
        <v>liǎojiě</v>
      </c>
      <c r="G247" t="str">
        <v>Hiểu rõ, tìm hiểu</v>
      </c>
      <c r="H247" t="str">
        <v>4. Tư duy &amp; Nhận thức</v>
      </c>
    </row>
    <row r="248">
      <c r="A248">
        <v>251</v>
      </c>
      <c r="B248">
        <v>13</v>
      </c>
      <c r="C248" t="str">
        <v>我的邻居来自英国</v>
      </c>
      <c r="D248" t="str">
        <v>聊天儿</v>
      </c>
      <c r="E248" t="str">
        <v>Động từ</v>
      </c>
      <c r="F248" t="str">
        <v>liáotiānr</v>
      </c>
      <c r="G248" t="str">
        <v>Nói chuyện phiếm</v>
      </c>
      <c r="H248" t="str">
        <v>5. Đời sống sinh hoạt</v>
      </c>
    </row>
    <row r="249">
      <c r="A249">
        <v>252</v>
      </c>
      <c r="B249">
        <v>17</v>
      </c>
      <c r="C249" t="str">
        <v>我要多向认真的人学习</v>
      </c>
      <c r="D249" t="str">
        <v>离开</v>
      </c>
      <c r="E249" t="str">
        <v>Động từ</v>
      </c>
      <c r="F249" t="str">
        <v>líkāi</v>
      </c>
      <c r="G249" t="str">
        <v>Rời khỏi, chia lìa</v>
      </c>
      <c r="H249" t="str">
        <v>5. Đời sống sinh hoạt</v>
      </c>
    </row>
    <row r="250">
      <c r="A250">
        <v>254</v>
      </c>
      <c r="B250">
        <v>13</v>
      </c>
      <c r="C250" t="str">
        <v>我的邻居来自英国</v>
      </c>
      <c r="D250" t="str">
        <v>邻居</v>
      </c>
      <c r="E250" t="str">
        <v>Danh từ</v>
      </c>
      <c r="F250" t="str">
        <v>línjū</v>
      </c>
      <c r="G250" t="str">
        <v>Hàng xóm</v>
      </c>
      <c r="H250" t="str">
        <v>6. Đồ vật &amp; Công cụ</v>
      </c>
    </row>
    <row r="251">
      <c r="A251">
        <v>255</v>
      </c>
      <c r="B251">
        <v>10</v>
      </c>
      <c r="C251" t="str">
        <v>你明天再把书还给我</v>
      </c>
      <c r="D251" t="str">
        <v>历史</v>
      </c>
      <c r="E251" t="str">
        <v>Danh từ</v>
      </c>
      <c r="F251" t="str">
        <v>lìshǐ</v>
      </c>
      <c r="G251" t="str">
        <v>Lịch sử</v>
      </c>
      <c r="H251" t="str">
        <v>6. Đồ vật &amp; Công cụ</v>
      </c>
    </row>
    <row r="252">
      <c r="A252">
        <v>256</v>
      </c>
      <c r="B252">
        <v>17</v>
      </c>
      <c r="C252" t="str">
        <v>我要多向认真的人学习</v>
      </c>
      <c r="D252" t="str">
        <v>留学</v>
      </c>
      <c r="E252" t="str">
        <v>Động từ</v>
      </c>
      <c r="F252" t="str">
        <v>liúxué</v>
      </c>
      <c r="G252" t="str">
        <v>Du học</v>
      </c>
      <c r="H252" t="str">
        <v>1. Con người &amp; Các mối quan hệ</v>
      </c>
    </row>
    <row r="253">
      <c r="A253">
        <v>257</v>
      </c>
      <c r="B253">
        <v>14</v>
      </c>
      <c r="C253" t="str">
        <v>这本书被别人借走了</v>
      </c>
      <c r="D253" t="str">
        <v>留学生</v>
      </c>
      <c r="E253" t="str">
        <v>Danh từ</v>
      </c>
      <c r="F253" t="str">
        <v>liúxuésheng</v>
      </c>
      <c r="G253" t="str">
        <v>Du học sinh</v>
      </c>
      <c r="H253" t="str">
        <v>1. Con người &amp; Các mối quan hệ</v>
      </c>
    </row>
    <row r="254">
      <c r="A254">
        <v>258</v>
      </c>
      <c r="B254">
        <v>13</v>
      </c>
      <c r="C254" t="str">
        <v>我的邻居来自英国</v>
      </c>
      <c r="D254" t="str">
        <v>礼物</v>
      </c>
      <c r="E254" t="str">
        <v>Danh từ</v>
      </c>
      <c r="F254" t="str">
        <v>lǐwù</v>
      </c>
      <c r="G254" t="str">
        <v>Quà tặng</v>
      </c>
      <c r="H254" t="str">
        <v>6. Đồ vật &amp; Công cụ</v>
      </c>
    </row>
    <row r="255">
      <c r="A255">
        <v>260</v>
      </c>
      <c r="B255">
        <v>17</v>
      </c>
      <c r="C255" t="str">
        <v>我要多向认真的人学习</v>
      </c>
      <c r="D255" t="str">
        <v>楼梯</v>
      </c>
      <c r="E255" t="str">
        <v>Danh từ</v>
      </c>
      <c r="F255" t="str">
        <v>lóutī</v>
      </c>
      <c r="G255" t="str">
        <v>Cầu thang</v>
      </c>
      <c r="H255" t="str">
        <v>6. Đồ vật &amp; Công cụ</v>
      </c>
    </row>
    <row r="256">
      <c r="A256">
        <v>261</v>
      </c>
      <c r="B256">
        <v>6</v>
      </c>
      <c r="C256" t="str">
        <v>高铁上还可以点外卖</v>
      </c>
      <c r="D256" t="str">
        <v>路口</v>
      </c>
      <c r="E256" t="str">
        <v>Danh từ</v>
      </c>
      <c r="F256" t="str">
        <v>lùkǒu</v>
      </c>
      <c r="G256" t="str">
        <v>Giao lộ, ngã ba, ngã tư</v>
      </c>
      <c r="H256" t="str">
        <v>14. Số lượng &amp; Đo lường</v>
      </c>
    </row>
    <row r="257">
      <c r="A257">
        <v>262</v>
      </c>
      <c r="B257">
        <v>4</v>
      </c>
      <c r="C257" t="str">
        <v>这家宾馆跟别的都不一样</v>
      </c>
      <c r="D257" t="str">
        <v>马</v>
      </c>
      <c r="E257" t="str">
        <v>Danh từ</v>
      </c>
      <c r="F257" t="str">
        <v>mǎ</v>
      </c>
      <c r="G257" t="str">
        <v>Con ngựa</v>
      </c>
      <c r="H257" t="str">
        <v>6. Đồ vật &amp; Công cụ</v>
      </c>
    </row>
    <row r="258">
      <c r="A258">
        <v>263</v>
      </c>
      <c r="B258">
        <v>15</v>
      </c>
      <c r="C258" t="str">
        <v>我是半个南京人</v>
      </c>
      <c r="D258" t="str">
        <v>马路</v>
      </c>
      <c r="E258" t="str">
        <v>Danh từ</v>
      </c>
      <c r="F258" t="str">
        <v>mǎlù</v>
      </c>
      <c r="G258" t="str">
        <v>Đường cái, đường lộ</v>
      </c>
      <c r="H258" t="str">
        <v>5. Đời sống sinh hoạt</v>
      </c>
    </row>
    <row r="259">
      <c r="A259">
        <v>264</v>
      </c>
      <c r="B259">
        <v>2</v>
      </c>
      <c r="C259" t="str">
        <v>你们想吃什么就点什么</v>
      </c>
      <c r="D259" t="str">
        <v>马上</v>
      </c>
      <c r="E259" t="str">
        <v>Phó từ</v>
      </c>
      <c r="F259" t="str">
        <v>mǎshàng</v>
      </c>
      <c r="G259" t="str">
        <v>Ngay lập tức, ngay bây giờ</v>
      </c>
      <c r="H259" t="str">
        <v>15. Công cụ ngữ pháp &amp; Cấu trúc</v>
      </c>
    </row>
    <row r="260">
      <c r="A260">
        <v>265</v>
      </c>
      <c r="B260">
        <v>4</v>
      </c>
      <c r="C260" t="str">
        <v>这家宾馆跟别的都不一样</v>
      </c>
      <c r="D260" t="str">
        <v>满意</v>
      </c>
      <c r="E260" t="str">
        <v>Động từ</v>
      </c>
      <c r="F260" t="str">
        <v>mǎnyì</v>
      </c>
      <c r="G260" t="str">
        <v>Hài lòng, ưng ý</v>
      </c>
      <c r="H260" t="str">
        <v>5. Đời sống sinh hoạt</v>
      </c>
    </row>
    <row r="261">
      <c r="A261">
        <v>266</v>
      </c>
      <c r="B261">
        <v>7</v>
      </c>
      <c r="C261" t="str">
        <v>那条裙子比短裤更好看</v>
      </c>
      <c r="D261" t="str">
        <v>毛</v>
      </c>
      <c r="E261" t="str">
        <v>Danh từ, Lượng từ</v>
      </c>
      <c r="F261" t="str">
        <v>máo</v>
      </c>
      <c r="G261" t="str">
        <v>Lông (động vật), tóc / Hào (đơn vị tiền tệ Trung Quốc)</v>
      </c>
      <c r="H261" t="str">
        <v>15. Công cụ ngữ pháp &amp; Cấu trúc</v>
      </c>
    </row>
    <row r="262">
      <c r="A262">
        <v>267</v>
      </c>
      <c r="B262">
        <v>1</v>
      </c>
      <c r="C262" t="str">
        <v>我们去机场接你们</v>
      </c>
      <c r="D262" t="str">
        <v>米</v>
      </c>
      <c r="E262" t="str">
        <v>Lượng từ</v>
      </c>
      <c r="F262" t="str">
        <v>mǐ</v>
      </c>
      <c r="G262" t="str">
        <v>Gạo / Mét (đơn vị đo lường)</v>
      </c>
      <c r="H262" t="str">
        <v>15. Công cụ ngữ pháp &amp; Cấu trúc</v>
      </c>
    </row>
    <row r="263">
      <c r="A263">
        <v>268</v>
      </c>
      <c r="B263">
        <v>14</v>
      </c>
      <c r="C263" t="str">
        <v>这本书被别人借走了</v>
      </c>
      <c r="D263" t="str">
        <v>面前</v>
      </c>
      <c r="E263" t="str">
        <v>Danh từ</v>
      </c>
      <c r="F263" t="str">
        <v>miānqián</v>
      </c>
      <c r="G263" t="str">
        <v>Trước mặt</v>
      </c>
      <c r="H263" t="str">
        <v>9. Không gian &amp; Vị trí</v>
      </c>
    </row>
    <row r="264">
      <c r="A264">
        <v>269</v>
      </c>
      <c r="B264">
        <v>14</v>
      </c>
      <c r="C264" t="str">
        <v>这本书被别人借走了</v>
      </c>
      <c r="D264" t="str">
        <v>名人</v>
      </c>
      <c r="E264" t="str">
        <v>Danh từ</v>
      </c>
      <c r="F264" t="str">
        <v>míngrén</v>
      </c>
      <c r="G264" t="str">
        <v>Người nổi tiếng</v>
      </c>
      <c r="H264" t="str">
        <v>1. Con người &amp; Các mối quan hệ</v>
      </c>
    </row>
    <row r="265">
      <c r="A265">
        <v>270</v>
      </c>
      <c r="B265">
        <v>10</v>
      </c>
      <c r="C265" t="str">
        <v>你明天再把书还给我</v>
      </c>
      <c r="D265" t="str">
        <v>明白</v>
      </c>
      <c r="E265" t="str">
        <v>Tính từ, Động từ</v>
      </c>
      <c r="F265" t="str">
        <v>míngbai</v>
      </c>
      <c r="G265" t="str">
        <v>Hiểu rõ, rõ ràng</v>
      </c>
      <c r="H265" t="str">
        <v>4. Tư duy &amp; Nhận thức</v>
      </c>
    </row>
    <row r="266">
      <c r="A266">
        <v>271</v>
      </c>
      <c r="B266">
        <v>18</v>
      </c>
      <c r="C266" t="str">
        <v>我学会了包饺子</v>
      </c>
      <c r="D266" t="str">
        <v>目标</v>
      </c>
      <c r="E266" t="str">
        <v>Danh từ</v>
      </c>
      <c r="F266" t="str">
        <v>mùbiāo</v>
      </c>
      <c r="G266" t="str">
        <v>Mục tiêu</v>
      </c>
      <c r="H266" t="str">
        <v>6. Đồ vật &amp; Công cụ</v>
      </c>
    </row>
    <row r="267">
      <c r="A267">
        <v>272</v>
      </c>
      <c r="B267">
        <v>9</v>
      </c>
      <c r="C267" t="str">
        <v>打不好没关系</v>
      </c>
      <c r="D267" t="str">
        <v>男生</v>
      </c>
      <c r="E267" t="str">
        <v>Danh từ</v>
      </c>
      <c r="F267" t="str">
        <v>nánshēng</v>
      </c>
      <c r="G267" t="str">
        <v>Nam sinh, bạn nam</v>
      </c>
      <c r="H267" t="str">
        <v>1. Con người &amp; Các mối quan hệ</v>
      </c>
    </row>
    <row r="268">
      <c r="A268">
        <v>273</v>
      </c>
      <c r="B268">
        <v>13</v>
      </c>
      <c r="C268" t="str">
        <v>我的邻居来自英国</v>
      </c>
      <c r="D268" t="str">
        <v>南方</v>
      </c>
      <c r="E268" t="str">
        <v>Danh từ</v>
      </c>
      <c r="F268" t="str">
        <v>nánfāng</v>
      </c>
      <c r="G268" t="str">
        <v>Miền nam, phương nam</v>
      </c>
      <c r="H268" t="str">
        <v>1. Con người &amp; Các mối quan hệ</v>
      </c>
    </row>
    <row r="269">
      <c r="A269">
        <v>274</v>
      </c>
      <c r="B269">
        <v>10</v>
      </c>
      <c r="C269" t="str">
        <v>你明天再把书还给我</v>
      </c>
      <c r="D269" t="str">
        <v>难</v>
      </c>
      <c r="E269" t="str">
        <v>Tính từ, Động từ</v>
      </c>
      <c r="F269" t="str">
        <v>nán</v>
      </c>
      <c r="G269" t="str">
        <v>Khó</v>
      </c>
      <c r="H269" t="str">
        <v>13. Miêu tả &amp; Đánh giá</v>
      </c>
    </row>
    <row r="270">
      <c r="A270">
        <v>275</v>
      </c>
      <c r="B270">
        <v>5</v>
      </c>
      <c r="C270" t="str">
        <v>这样的照片才好看</v>
      </c>
      <c r="D270" t="str">
        <v>难过</v>
      </c>
      <c r="E270" t="str">
        <v>Tính từ</v>
      </c>
      <c r="F270" t="str">
        <v>nánguò</v>
      </c>
      <c r="G270" t="str">
        <v>Buồn bã, khó chịu, khó qua khỏi</v>
      </c>
      <c r="H270" t="str">
        <v>10. Thời gian</v>
      </c>
    </row>
    <row r="271">
      <c r="A271">
        <v>276</v>
      </c>
      <c r="B271">
        <v>5</v>
      </c>
      <c r="C271" t="str">
        <v>这样的照片才好看</v>
      </c>
      <c r="D271" t="str">
        <v>难看</v>
      </c>
      <c r="E271" t="str">
        <v>Tính từ</v>
      </c>
      <c r="F271" t="str">
        <v>nánkàn</v>
      </c>
      <c r="G271" t="str">
        <v>Xấu, khó nhìn</v>
      </c>
      <c r="H271" t="str">
        <v>13. Miêu tả &amp; Đánh giá</v>
      </c>
    </row>
    <row r="272">
      <c r="A272">
        <v>277</v>
      </c>
      <c r="B272">
        <v>17</v>
      </c>
      <c r="C272" t="str">
        <v>我要多向认真的人学习</v>
      </c>
      <c r="D272" t="str">
        <v>难题</v>
      </c>
      <c r="E272" t="str">
        <v>Danh từ</v>
      </c>
      <c r="F272" t="str">
        <v>nántí</v>
      </c>
      <c r="G272" t="str">
        <v>Đề bài khó, vấn đề nan giải</v>
      </c>
      <c r="H272" t="str">
        <v>1. Con người &amp; Các mối quan hệ</v>
      </c>
    </row>
    <row r="273">
      <c r="A273">
        <v>278</v>
      </c>
      <c r="B273">
        <v>1</v>
      </c>
      <c r="C273" t="str">
        <v>我们去机场接你们</v>
      </c>
      <c r="D273" t="str">
        <v>年轻</v>
      </c>
      <c r="E273" t="str">
        <v>Tính từ</v>
      </c>
      <c r="F273" t="str">
        <v>niánqīng</v>
      </c>
      <c r="G273" t="str">
        <v>Trẻ trung, trẻ tuổi</v>
      </c>
      <c r="H273" t="str">
        <v>1. Con người &amp; Các mối quan hệ</v>
      </c>
    </row>
    <row r="274">
      <c r="A274">
        <v>279</v>
      </c>
      <c r="B274">
        <v>10</v>
      </c>
      <c r="C274" t="str">
        <v>你明天再把书还给我</v>
      </c>
      <c r="D274" t="str">
        <v>年级</v>
      </c>
      <c r="E274" t="str">
        <v>Danh từ</v>
      </c>
      <c r="F274" t="str">
        <v>niánjí</v>
      </c>
      <c r="G274" t="str">
        <v>Năm học, khối lớp</v>
      </c>
      <c r="H274" t="str">
        <v>10. Thời gian</v>
      </c>
    </row>
    <row r="275">
      <c r="A275">
        <v>280</v>
      </c>
      <c r="B275">
        <v>4</v>
      </c>
      <c r="C275" t="str">
        <v>这家宾馆跟别的都不一样</v>
      </c>
      <c r="D275" t="str">
        <v>牛</v>
      </c>
      <c r="E275" t="str">
        <v>Danh từ</v>
      </c>
      <c r="F275" t="str">
        <v>niú</v>
      </c>
      <c r="G275" t="str">
        <v>Con bò (nghĩa lóng: ngầu, giỏi)</v>
      </c>
      <c r="H275" t="str">
        <v>4. Tư duy &amp; Nhận thức</v>
      </c>
    </row>
    <row r="276">
      <c r="A276">
        <v>281</v>
      </c>
      <c r="B276">
        <v>10</v>
      </c>
      <c r="C276" t="str">
        <v>你明天再把书还给我</v>
      </c>
      <c r="D276" t="str">
        <v>努力</v>
      </c>
      <c r="E276" t="str">
        <v>Động từ, Tính từ</v>
      </c>
      <c r="F276" t="str">
        <v>nǔlì</v>
      </c>
      <c r="G276" t="str">
        <v>Nỗ lực, cố gắng</v>
      </c>
      <c r="H276" t="str">
        <v>5. Đời sống sinh hoạt</v>
      </c>
    </row>
    <row r="277">
      <c r="A277">
        <v>282</v>
      </c>
      <c r="B277">
        <v>14</v>
      </c>
      <c r="C277" t="str">
        <v>这本书被别人借走了</v>
      </c>
      <c r="D277" t="str">
        <v>女生</v>
      </c>
      <c r="E277" t="str">
        <v>Danh từ</v>
      </c>
      <c r="F277" t="str">
        <v>nǚshēng</v>
      </c>
      <c r="G277" t="str">
        <v>Nữ sinh, bạn nữ</v>
      </c>
      <c r="H277" t="str">
        <v>1. Con người &amp; Các mối quan hệ</v>
      </c>
    </row>
    <row r="278">
      <c r="A278">
        <v>283</v>
      </c>
      <c r="B278">
        <v>5</v>
      </c>
      <c r="C278" t="str">
        <v>这样的照片才好看</v>
      </c>
      <c r="D278" t="str">
        <v>爬</v>
      </c>
      <c r="E278" t="str">
        <v>Động từ</v>
      </c>
      <c r="F278" t="str">
        <v>pá</v>
      </c>
      <c r="G278" t="str">
        <v>Leo, trèo, bò</v>
      </c>
      <c r="H278" t="str">
        <v>5. Đời sống sinh hoạt</v>
      </c>
    </row>
    <row r="279">
      <c r="A279">
        <v>284</v>
      </c>
      <c r="B279">
        <v>11</v>
      </c>
      <c r="C279" t="str">
        <v>看来我还没办法解决这个问题</v>
      </c>
      <c r="D279" t="str">
        <v>怕</v>
      </c>
      <c r="E279" t="str">
        <v>Tính từ, Phó từ</v>
      </c>
      <c r="F279" t="str">
        <v>pà</v>
      </c>
      <c r="G279" t="str">
        <v>Sợ, e rằng</v>
      </c>
      <c r="H279" t="str">
        <v>15. Công cụ ngữ pháp &amp; Cấu trúc</v>
      </c>
    </row>
    <row r="280">
      <c r="A280">
        <v>285</v>
      </c>
      <c r="B280">
        <v>5</v>
      </c>
      <c r="C280" t="str">
        <v>这样的照片才好看</v>
      </c>
      <c r="D280" t="str">
        <v>拍照</v>
      </c>
      <c r="E280" t="str">
        <v>Động từ</v>
      </c>
      <c r="F280" t="str">
        <v>pāizhào</v>
      </c>
      <c r="G280" t="str">
        <v>Chụp ảnh</v>
      </c>
      <c r="H280" t="str">
        <v>6. Đồ vật &amp; Công cụ</v>
      </c>
    </row>
    <row r="281">
      <c r="A281">
        <v>286</v>
      </c>
      <c r="B281">
        <v>13</v>
      </c>
      <c r="C281" t="str">
        <v>我的邻居来自英国</v>
      </c>
      <c r="D281" t="str">
        <v>盘子</v>
      </c>
      <c r="E281" t="str">
        <v>Danh từ</v>
      </c>
      <c r="F281" t="str">
        <v>pánzi</v>
      </c>
      <c r="G281" t="str">
        <v>Cái đĩa</v>
      </c>
      <c r="H281" t="str">
        <v>5. Đời sống sinh hoạt</v>
      </c>
    </row>
    <row r="282">
      <c r="A282">
        <v>287</v>
      </c>
      <c r="B282">
        <v>8</v>
      </c>
      <c r="C282" t="str">
        <v>今天我出院了</v>
      </c>
      <c r="D282" t="str">
        <v>胖</v>
      </c>
      <c r="E282" t="str">
        <v>Tính từ</v>
      </c>
      <c r="F282" t="str">
        <v>pàng</v>
      </c>
      <c r="G282" t="str">
        <v>Béo, mập</v>
      </c>
      <c r="H282" t="str">
        <v>13. Miêu tả &amp; Đánh giá</v>
      </c>
    </row>
    <row r="283">
      <c r="A283">
        <v>288</v>
      </c>
      <c r="B283">
        <v>9</v>
      </c>
      <c r="C283" t="str">
        <v>打不好没关系</v>
      </c>
      <c r="D283" t="str">
        <v>啤酒</v>
      </c>
      <c r="E283" t="str">
        <v>Danh từ</v>
      </c>
      <c r="F283" t="str">
        <v>píjiǔ</v>
      </c>
      <c r="G283" t="str">
        <v>Bia</v>
      </c>
      <c r="H283" t="str">
        <v>6. Đồ vật &amp; Công cụ</v>
      </c>
    </row>
    <row r="284">
      <c r="A284">
        <v>289</v>
      </c>
      <c r="B284">
        <v>15</v>
      </c>
      <c r="C284" t="str">
        <v>我是半个南京人</v>
      </c>
      <c r="D284" t="str">
        <v>平时</v>
      </c>
      <c r="E284" t="str">
        <v>Danh từ</v>
      </c>
      <c r="F284" t="str">
        <v>píngshí</v>
      </c>
      <c r="G284" t="str">
        <v>Bình thường, lúc thường</v>
      </c>
      <c r="H284" t="str">
        <v>10. Thời gian</v>
      </c>
    </row>
    <row r="285">
      <c r="A285">
        <v>290</v>
      </c>
      <c r="B285">
        <v>16</v>
      </c>
      <c r="C285" t="str">
        <v>我听说有的熊猫出国了</v>
      </c>
      <c r="D285" t="str">
        <v>其实</v>
      </c>
      <c r="E285" t="str">
        <v>Phó từ</v>
      </c>
      <c r="F285" t="str">
        <v>qíshí</v>
      </c>
      <c r="G285" t="str">
        <v>Thực ra, thực tế là</v>
      </c>
      <c r="H285" t="str">
        <v>15. Công cụ ngữ pháp &amp; Cấu trúc</v>
      </c>
    </row>
    <row r="286">
      <c r="A286">
        <v>291</v>
      </c>
      <c r="B286">
        <v>8</v>
      </c>
      <c r="C286" t="str">
        <v>今天我出院了</v>
      </c>
      <c r="D286" t="str">
        <v>其他</v>
      </c>
      <c r="E286" t="str">
        <v>Đại từ</v>
      </c>
      <c r="F286" t="str">
        <v>qítā</v>
      </c>
      <c r="G286" t="str">
        <v>Cái khác, người khác</v>
      </c>
      <c r="H286" t="str">
        <v>15. Công cụ ngữ pháp &amp; Cấu trúc</v>
      </c>
    </row>
    <row r="287">
      <c r="A287">
        <v>292</v>
      </c>
      <c r="B287">
        <v>16</v>
      </c>
      <c r="C287" t="str">
        <v>我听说有的熊猫出国了</v>
      </c>
      <c r="D287" t="str">
        <v>奇怪</v>
      </c>
      <c r="E287" t="str">
        <v>Tính từ</v>
      </c>
      <c r="F287" t="str">
        <v>qíguài</v>
      </c>
      <c r="G287" t="str">
        <v>Kỳ lạ, quái lạ</v>
      </c>
      <c r="H287" t="str">
        <v>13. Miêu tả &amp; Đánh giá</v>
      </c>
    </row>
    <row r="288">
      <c r="A288">
        <v>293</v>
      </c>
      <c r="B288">
        <v>4</v>
      </c>
      <c r="C288" t="str">
        <v>这家宾馆跟别的都不一样</v>
      </c>
      <c r="D288" t="str">
        <v>骑</v>
      </c>
      <c r="E288" t="str">
        <v>Động từ</v>
      </c>
      <c r="F288" t="str">
        <v>qí</v>
      </c>
      <c r="G288" t="str">
        <v>Cưỡi (xe đạp, xe máy, ngựa)</v>
      </c>
      <c r="H288" t="str">
        <v>6. Đồ vật &amp; Công cụ</v>
      </c>
    </row>
    <row r="289">
      <c r="A289">
        <v>294</v>
      </c>
      <c r="B289">
        <v>18</v>
      </c>
      <c r="C289" t="str">
        <v>我学会了包饺子</v>
      </c>
      <c r="D289" t="str">
        <v>起</v>
      </c>
      <c r="E289" t="str">
        <v>Động từ, Lượng từ</v>
      </c>
      <c r="F289" t="str">
        <v>qǐ</v>
      </c>
      <c r="G289" t="str">
        <v>Dậy, nổi lên, bắt đầu</v>
      </c>
      <c r="H289" t="str">
        <v>15. Công cụ ngữ pháp &amp; Cấu trúc</v>
      </c>
    </row>
    <row r="290">
      <c r="A290">
        <v>295</v>
      </c>
      <c r="B290">
        <v>4</v>
      </c>
      <c r="C290" t="str">
        <v>这家宾馆跟别的都不一样</v>
      </c>
      <c r="D290" t="str">
        <v>起飞</v>
      </c>
      <c r="E290" t="str">
        <v>Động từ</v>
      </c>
      <c r="F290" t="str">
        <v>qǐfēi</v>
      </c>
      <c r="G290" t="str">
        <v>Cất cánh (máy bay)</v>
      </c>
      <c r="H290" t="str">
        <v>5. Đời sống sinh hoạt</v>
      </c>
    </row>
    <row r="291">
      <c r="A291">
        <v>296</v>
      </c>
      <c r="B291">
        <v>17</v>
      </c>
      <c r="C291" t="str">
        <v>我要多向认真的人学习</v>
      </c>
      <c r="D291" t="str">
        <v>前天</v>
      </c>
      <c r="E291" t="str">
        <v>Danh từ</v>
      </c>
      <c r="F291" t="str">
        <v>qiántiān</v>
      </c>
      <c r="G291" t="str">
        <v>Ngày hôm kia</v>
      </c>
      <c r="H291" t="str">
        <v>10. Thời gian</v>
      </c>
    </row>
    <row r="292">
      <c r="A292">
        <v>297</v>
      </c>
      <c r="B292">
        <v>10</v>
      </c>
      <c r="C292" t="str">
        <v>你明天再把书还给我</v>
      </c>
      <c r="D292" t="str">
        <v>清楚</v>
      </c>
      <c r="E292" t="str">
        <v>Tính từ, Động từ</v>
      </c>
      <c r="F292" t="str">
        <v>qīngchu</v>
      </c>
      <c r="G292" t="str">
        <v>Rõ ràng, sạch sẽ</v>
      </c>
      <c r="H292" t="str">
        <v>13. Miêu tả &amp; Đánh giá</v>
      </c>
    </row>
    <row r="293">
      <c r="A293">
        <v>298</v>
      </c>
      <c r="B293">
        <v>11</v>
      </c>
      <c r="C293" t="str">
        <v>看来我还没办法解决这个问题</v>
      </c>
      <c r="D293" t="str">
        <v>请假</v>
      </c>
      <c r="E293" t="str">
        <v>Động từ</v>
      </c>
      <c r="F293" t="str">
        <v>qǐngjià</v>
      </c>
      <c r="G293" t="str">
        <v>Xin nghỉ (phép/học)</v>
      </c>
      <c r="H293" t="str">
        <v>10. Thời gian</v>
      </c>
    </row>
    <row r="294">
      <c r="A294">
        <v>299</v>
      </c>
      <c r="B294">
        <v>13</v>
      </c>
      <c r="C294" t="str">
        <v>我的邻居来自英国</v>
      </c>
      <c r="D294" t="str">
        <v>请客</v>
      </c>
      <c r="E294" t="str">
        <v>Động từ</v>
      </c>
      <c r="F294" t="str">
        <v>qǐngkè</v>
      </c>
      <c r="G294" t="str">
        <v>Mời khách, bao ăn/uống</v>
      </c>
      <c r="H294" t="str">
        <v>1. Con người &amp; Các mối quan hệ</v>
      </c>
    </row>
    <row r="295">
      <c r="A295">
        <v>300</v>
      </c>
      <c r="B295">
        <v>12</v>
      </c>
      <c r="C295" t="str">
        <v>这个季节天气变化很快</v>
      </c>
      <c r="D295" t="str">
        <v>秋天</v>
      </c>
      <c r="E295" t="str">
        <v>Danh từ</v>
      </c>
      <c r="F295" t="str">
        <v>qiūtiān</v>
      </c>
      <c r="G295" t="str">
        <v>Mùa thu</v>
      </c>
      <c r="H295" t="str">
        <v>10. Thời gian</v>
      </c>
    </row>
    <row r="296">
      <c r="B296">
        <v>9</v>
      </c>
      <c r="C296" t="str">
        <v>打不好没关系</v>
      </c>
      <c r="D296" t="str">
        <v>球场</v>
      </c>
      <c r="E296" t="str">
        <v>Danh từ</v>
      </c>
      <c r="F296" t="str">
        <v>qiúchǎng</v>
      </c>
      <c r="G296" t="str">
        <v>Sân bóng</v>
      </c>
      <c r="H296" t="str">
        <v>6. Đồ vật &amp; Công cụ</v>
      </c>
    </row>
    <row r="297">
      <c r="B297">
        <v>16</v>
      </c>
      <c r="C297" t="str">
        <v>我听说有的熊猫出国了</v>
      </c>
      <c r="D297" t="str">
        <v>全</v>
      </c>
      <c r="F297" t="str">
        <v>quán</v>
      </c>
      <c r="G297" t="str">
        <v>Toàn bộ, tất cả</v>
      </c>
      <c r="H297" t="str">
        <v>13. Miêu tả &amp; Đánh giá</v>
      </c>
    </row>
    <row r="298">
      <c r="B298">
        <v>7</v>
      </c>
      <c r="C298" t="str">
        <v>那条裙子比短裤更好看</v>
      </c>
      <c r="D298" t="str">
        <v>裙子</v>
      </c>
      <c r="E298" t="str">
        <v>Danh từ</v>
      </c>
      <c r="F298" t="str">
        <v>qúnzi</v>
      </c>
      <c r="G298" t="str">
        <v>Cái váy</v>
      </c>
      <c r="H298" t="str">
        <v>5. Đời sống sinh hoạt</v>
      </c>
    </row>
    <row r="299">
      <c r="B299">
        <v>14</v>
      </c>
      <c r="C299" t="str">
        <v>这本书被别人借走了</v>
      </c>
      <c r="D299" t="str">
        <v>然后</v>
      </c>
      <c r="E299" t="str">
        <v>Liên từ</v>
      </c>
      <c r="F299" t="str">
        <v>ránhòu</v>
      </c>
      <c r="G299" t="str">
        <v>Sau đó, rồi thì</v>
      </c>
      <c r="H299" t="str">
        <v>15. Công cụ ngữ pháp &amp; Cấu trúc</v>
      </c>
    </row>
    <row r="300">
      <c r="B300">
        <v>2</v>
      </c>
      <c r="C300" t="str">
        <v>你们想吃什么就点什么</v>
      </c>
      <c r="D300" t="str">
        <v>热情</v>
      </c>
      <c r="E300" t="str">
        <v>Tính từ</v>
      </c>
      <c r="F300" t="str">
        <v>rèqíng</v>
      </c>
      <c r="G300" t="str">
        <v>Nhiệt tình, nhiệt huyết</v>
      </c>
      <c r="H300" t="str">
        <v>13. Miêu tả &amp; Đánh giá</v>
      </c>
    </row>
    <row r="301">
      <c r="B301">
        <v>16</v>
      </c>
      <c r="C301" t="str">
        <v>我听说有的熊猫出国了</v>
      </c>
      <c r="D301" t="str">
        <v>认得</v>
      </c>
      <c r="E301" t="str">
        <v>Động từ</v>
      </c>
      <c r="F301" t="str">
        <v>rènde</v>
      </c>
      <c r="G301" t="str">
        <v>Nhận ra, quen biết</v>
      </c>
      <c r="H301" t="str">
        <v>4. Tư duy &amp; Nhận thức</v>
      </c>
    </row>
    <row r="302">
      <c r="B302">
        <v>17</v>
      </c>
      <c r="C302" t="str">
        <v>我要多向认真的人学习</v>
      </c>
      <c r="D302" t="str">
        <v>认为</v>
      </c>
      <c r="E302" t="str">
        <v>Động từ</v>
      </c>
      <c r="F302" t="str">
        <v>rènwéi</v>
      </c>
      <c r="G302" t="str">
        <v>Cho rằng, nghĩ rằng</v>
      </c>
      <c r="H302" t="str">
        <v>4. Tư duy &amp; Nhận thức</v>
      </c>
    </row>
    <row r="303">
      <c r="B303">
        <v>10</v>
      </c>
      <c r="C303" t="str">
        <v>你明天再把书还给我</v>
      </c>
      <c r="D303" t="str">
        <v>认真</v>
      </c>
      <c r="E303" t="str">
        <v>Tính từ</v>
      </c>
      <c r="F303" t="str">
        <v>rènzhēn</v>
      </c>
      <c r="G303" t="str">
        <v>Nghiêm túc, chăm chỉ</v>
      </c>
      <c r="H303" t="str">
        <v>13. Miêu tả &amp; Đánh giá</v>
      </c>
    </row>
    <row r="304">
      <c r="B304">
        <v>17</v>
      </c>
      <c r="C304" t="str">
        <v>我要多向认真的人学习</v>
      </c>
      <c r="D304" t="str">
        <v>容易</v>
      </c>
      <c r="E304" t="str">
        <v>Tính từ</v>
      </c>
      <c r="F304" t="str">
        <v>róngyì</v>
      </c>
      <c r="G304" t="str">
        <v>Dễ dàng</v>
      </c>
      <c r="H304" t="str">
        <v>13. Miêu tả &amp; Đánh giá</v>
      </c>
    </row>
    <row r="305">
      <c r="B305">
        <v>6</v>
      </c>
      <c r="C305" t="str">
        <v>高铁上还可以点外卖</v>
      </c>
      <c r="D305" t="str">
        <v>如果</v>
      </c>
      <c r="E305" t="str">
        <v>Liên từ</v>
      </c>
      <c r="F305" t="str">
        <v>rúguǒ</v>
      </c>
      <c r="G305" t="str">
        <v>Nếu, nếu như</v>
      </c>
      <c r="H305" t="str">
        <v>15. Công cụ ngữ pháp &amp; Cấu trúc</v>
      </c>
    </row>
    <row r="306">
      <c r="B306">
        <v>12</v>
      </c>
      <c r="C306" t="str">
        <v>这个季节天气变化很快</v>
      </c>
      <c r="D306" t="str">
        <v>伞</v>
      </c>
      <c r="E306" t="str">
        <v>Danh từ</v>
      </c>
      <c r="F306" t="str">
        <v>sǎn</v>
      </c>
      <c r="G306" t="str">
        <v>Cái ô, cây dù</v>
      </c>
      <c r="H306" t="str">
        <v>5. Đời sống sinh hoạt</v>
      </c>
    </row>
    <row r="307">
      <c r="B307">
        <v>6</v>
      </c>
      <c r="C307" t="str">
        <v>高铁上还可以点外卖</v>
      </c>
      <c r="D307" t="str">
        <v>沙发</v>
      </c>
      <c r="E307" t="str">
        <v>Danh từ</v>
      </c>
      <c r="F307" t="str">
        <v>shāfā</v>
      </c>
      <c r="G307" t="str">
        <v>Ghế sa-pha, ghế băng</v>
      </c>
      <c r="H307" t="str">
        <v>5. Đời sống sinh hoạt</v>
      </c>
    </row>
    <row r="308">
      <c r="B308">
        <v>5</v>
      </c>
      <c r="C308" t="str">
        <v>这样的照片才好看</v>
      </c>
      <c r="D308" t="str">
        <v>山</v>
      </c>
      <c r="E308" t="str">
        <v>Danh từ</v>
      </c>
      <c r="F308" t="str">
        <v>shān</v>
      </c>
      <c r="G308" t="str">
        <v>Núi</v>
      </c>
      <c r="H308" t="str">
        <v>16. Tự nhiên</v>
      </c>
    </row>
    <row r="309">
      <c r="B309">
        <v>2</v>
      </c>
      <c r="C309" t="str">
        <v>你们想吃什么就点什么</v>
      </c>
      <c r="D309" t="str">
        <v>勺子</v>
      </c>
      <c r="E309" t="str">
        <v>Danh từ</v>
      </c>
      <c r="F309" t="str">
        <v>sháozi</v>
      </c>
      <c r="G309" t="str">
        <v>Cái thìa, cái muỗng</v>
      </c>
      <c r="H309" t="str">
        <v>5. Đời sống sinh hoạt</v>
      </c>
    </row>
    <row r="310">
      <c r="B310">
        <v>16</v>
      </c>
      <c r="C310" t="str">
        <v>我听说有的熊猫出国了</v>
      </c>
      <c r="D310" t="str">
        <v>身边</v>
      </c>
      <c r="E310" t="str">
        <v>Danh từ</v>
      </c>
      <c r="F310" t="str">
        <v>shēnbiān</v>
      </c>
      <c r="G310" t="str">
        <v>Bên mình, bên cạnh</v>
      </c>
      <c r="H310" t="str">
        <v>5. Đời sống sinh hoạt</v>
      </c>
    </row>
    <row r="311">
      <c r="B311">
        <v>1</v>
      </c>
      <c r="C311" t="str">
        <v>我们去机场接你们</v>
      </c>
      <c r="D311" t="str">
        <v>身高</v>
      </c>
      <c r="E311" t="str">
        <v>Danh từ</v>
      </c>
      <c r="F311" t="str">
        <v>shēngāo</v>
      </c>
      <c r="G311" t="str">
        <v>Chiều cao</v>
      </c>
      <c r="H311" t="str">
        <v>10. Thời gian</v>
      </c>
    </row>
    <row r="312">
      <c r="B312">
        <v>11</v>
      </c>
      <c r="C312" t="str">
        <v>看来我还没办法解决这个问题</v>
      </c>
      <c r="D312" t="str">
        <v>生活</v>
      </c>
      <c r="E312" t="str">
        <v>Danh từ</v>
      </c>
      <c r="F312" t="str">
        <v>shēnghuó</v>
      </c>
      <c r="G312" t="str">
        <v>Cuộc sống, sinh hoạt</v>
      </c>
      <c r="H312" t="str">
        <v>14. Số lượng &amp; Đo lường</v>
      </c>
    </row>
    <row r="313">
      <c r="B313">
        <v>17</v>
      </c>
      <c r="C313" t="str">
        <v>我要多向认真的人学习</v>
      </c>
      <c r="D313" t="str">
        <v>生气</v>
      </c>
      <c r="E313" t="str">
        <v>Động từ</v>
      </c>
      <c r="F313" t="str">
        <v>shēngqì</v>
      </c>
      <c r="G313" t="str">
        <v>Tức giận</v>
      </c>
      <c r="H313" t="str">
        <v>3. Cảm xúc &amp; Thái độ</v>
      </c>
    </row>
    <row r="314">
      <c r="B314">
        <v>7</v>
      </c>
      <c r="C314" t="str">
        <v>那条裙子比短裤更好看</v>
      </c>
      <c r="D314" t="str">
        <v>声</v>
      </c>
      <c r="E314" t="str">
        <v>Danh từ, Lượng từ</v>
      </c>
      <c r="F314" t="str">
        <v>shēng</v>
      </c>
      <c r="G314" t="str">
        <v>Tiếng, âm thanh</v>
      </c>
      <c r="H314" t="str">
        <v>15. Công cụ ngữ pháp &amp; Cấu trúc</v>
      </c>
    </row>
    <row r="315">
      <c r="B315">
        <v>11</v>
      </c>
      <c r="C315" t="str">
        <v>看来我还没办法解决这个问题</v>
      </c>
      <c r="D315" t="str">
        <v>声音</v>
      </c>
      <c r="E315" t="str">
        <v>Danh từ</v>
      </c>
      <c r="F315" t="str">
        <v>shēngyīn</v>
      </c>
      <c r="G315" t="str">
        <v>Âm thanh, tiếng động</v>
      </c>
      <c r="H315" t="str">
        <v>1. Con người &amp; Các mối quan hệ</v>
      </c>
    </row>
    <row r="316">
      <c r="B316">
        <v>9</v>
      </c>
      <c r="C316" t="str">
        <v>打不好没关系</v>
      </c>
      <c r="D316" t="str">
        <v>世界</v>
      </c>
      <c r="E316" t="str">
        <v>Danh từ</v>
      </c>
      <c r="F316" t="str">
        <v>shìjiè</v>
      </c>
      <c r="G316" t="str">
        <v>Thế giới</v>
      </c>
      <c r="H316" t="str">
        <v>6. Đồ vật &amp; Công cụ</v>
      </c>
    </row>
    <row r="317">
      <c r="B317">
        <v>7</v>
      </c>
      <c r="C317" t="str">
        <v>那条裙子比短裤更好看</v>
      </c>
      <c r="D317" t="str">
        <v>试</v>
      </c>
      <c r="E317" t="str">
        <v>Động từ</v>
      </c>
      <c r="F317" t="str">
        <v>shì</v>
      </c>
      <c r="G317" t="str">
        <v>Thử</v>
      </c>
      <c r="H317" t="str">
        <v>5. Đời sống sinh hoạt</v>
      </c>
    </row>
    <row r="318">
      <c r="B318">
        <v>14</v>
      </c>
      <c r="C318" t="str">
        <v>这本书被别人借走了</v>
      </c>
      <c r="D318" t="str">
        <v>视频</v>
      </c>
      <c r="E318" t="str">
        <v>Danh từ</v>
      </c>
      <c r="F318" t="str">
        <v>shìpín</v>
      </c>
      <c r="G318" t="str">
        <v>Video</v>
      </c>
      <c r="H318" t="str">
        <v>6. Đồ vật &amp; Công cụ</v>
      </c>
    </row>
    <row r="319">
      <c r="B319">
        <v>11</v>
      </c>
      <c r="C319" t="str">
        <v>看来我还没办法解决这个问题</v>
      </c>
      <c r="D319" t="str">
        <v>室</v>
      </c>
      <c r="E319" t="str">
        <v>Danh từ</v>
      </c>
      <c r="F319" t="str">
        <v>shì</v>
      </c>
      <c r="G319" t="str">
        <v>Phòng</v>
      </c>
      <c r="H319" t="str">
        <v>7. Địa điểm &amp; Nơi chốn</v>
      </c>
    </row>
    <row r="320">
      <c r="B320">
        <v>18</v>
      </c>
      <c r="C320" t="str">
        <v>我学会了包饺子</v>
      </c>
      <c r="D320" t="str">
        <v>收</v>
      </c>
      <c r="E320" t="str">
        <v>Động từ</v>
      </c>
      <c r="F320" t="str">
        <v>shōu</v>
      </c>
      <c r="G320" t="str">
        <v>Thu, nhận, thu dọn</v>
      </c>
      <c r="H320" t="str">
        <v>10. Thời gian</v>
      </c>
    </row>
    <row r="321">
      <c r="B321">
        <v>5</v>
      </c>
      <c r="C321" t="str">
        <v>这样的照片才好看</v>
      </c>
      <c r="D321" t="str">
        <v>收到</v>
      </c>
      <c r="E321" t="str">
        <v>Động từ</v>
      </c>
      <c r="F321" t="str">
        <v>shōudào</v>
      </c>
      <c r="G321" t="str">
        <v>Nhận được</v>
      </c>
      <c r="H321" t="str">
        <v>5. Đời sống sinh hoạt</v>
      </c>
    </row>
    <row r="322">
      <c r="B322">
        <v>9</v>
      </c>
      <c r="C322" t="str">
        <v>打不好没关系</v>
      </c>
      <c r="D322" t="str">
        <v>受到</v>
      </c>
      <c r="E322" t="str">
        <v>Động từ</v>
      </c>
      <c r="F322" t="str">
        <v>shòudào</v>
      </c>
      <c r="G322" t="str">
        <v>Nhận được, bị (tác động)</v>
      </c>
      <c r="H322" t="str">
        <v>5. Đời sống sinh hoạt</v>
      </c>
    </row>
    <row r="323">
      <c r="B323">
        <v>1</v>
      </c>
      <c r="C323" t="str">
        <v>我们去机场接你们</v>
      </c>
      <c r="D323" t="str">
        <v>瘦</v>
      </c>
      <c r="E323" t="str">
        <v>Tính từ</v>
      </c>
      <c r="F323" t="str">
        <v>shòu</v>
      </c>
      <c r="G323" t="str">
        <v>Gầy</v>
      </c>
      <c r="H323" t="str">
        <v>13. Miêu tả &amp; Đánh giá</v>
      </c>
    </row>
    <row r="324">
      <c r="B324">
        <v>18</v>
      </c>
      <c r="C324" t="str">
        <v>我学会了包饺子</v>
      </c>
      <c r="D324" t="str">
        <v>叔叔</v>
      </c>
      <c r="E324" t="str">
        <v>Danh từ</v>
      </c>
      <c r="F324" t="str">
        <v>shūshu</v>
      </c>
      <c r="G324" t="str">
        <v>Chú</v>
      </c>
      <c r="H324" t="str">
        <v>1. Con người &amp; Các mối quan hệ</v>
      </c>
    </row>
    <row r="325">
      <c r="B325">
        <v>5</v>
      </c>
      <c r="C325" t="str">
        <v>这样的照片才好看</v>
      </c>
      <c r="D325" t="str">
        <v>树</v>
      </c>
      <c r="E325" t="str">
        <v>Danh từ</v>
      </c>
      <c r="F325" t="str">
        <v>shù</v>
      </c>
      <c r="G325" t="str">
        <v>Cây</v>
      </c>
      <c r="H325" t="str">
        <v>16. Tự nhiên</v>
      </c>
    </row>
    <row r="326">
      <c r="B326">
        <v>10</v>
      </c>
      <c r="C326" t="str">
        <v>你明天再把书还给我</v>
      </c>
      <c r="D326" t="str">
        <v>数学</v>
      </c>
      <c r="E326" t="str">
        <v>Danh từ</v>
      </c>
      <c r="F326" t="str">
        <v>shùxué</v>
      </c>
      <c r="G326" t="str">
        <v>Toán học</v>
      </c>
      <c r="H326" t="str">
        <v>1. Con người &amp; Các mối quan hệ</v>
      </c>
    </row>
    <row r="327">
      <c r="B327">
        <v>6</v>
      </c>
      <c r="C327" t="str">
        <v>高铁上还可以点外卖</v>
      </c>
      <c r="D327" t="str">
        <v>刷</v>
      </c>
      <c r="E327" t="str">
        <v>Động từ</v>
      </c>
      <c r="F327" t="str">
        <v>shuā</v>
      </c>
      <c r="G327" t="str">
        <v>Chải, quét, đánh (răng)</v>
      </c>
      <c r="H327" t="str">
        <v>5. Đời sống sinh hoạt</v>
      </c>
    </row>
    <row r="328">
      <c r="B328">
        <v>2</v>
      </c>
      <c r="C328" t="str">
        <v>你们想吃什么就点什么</v>
      </c>
      <c r="D328" t="str">
        <v>双</v>
      </c>
      <c r="E328" t="str">
        <v>Lượng từ</v>
      </c>
      <c r="F328" t="str">
        <v>shuāng</v>
      </c>
      <c r="G328" t="str">
        <v>Đôi, cặp</v>
      </c>
      <c r="H328" t="str">
        <v>14. Số lượng &amp; Đo lường</v>
      </c>
    </row>
    <row r="329">
      <c r="B329">
        <v>5</v>
      </c>
      <c r="C329" t="str">
        <v>这样的照片才好看</v>
      </c>
      <c r="D329" t="str">
        <v>水平</v>
      </c>
      <c r="E329" t="str">
        <v>Danh từ</v>
      </c>
      <c r="F329" t="str">
        <v>shuǐpíng</v>
      </c>
      <c r="G329" t="str">
        <v>Trình độ</v>
      </c>
      <c r="H329" t="str">
        <v>6. Đồ vật &amp; Công cụ</v>
      </c>
    </row>
    <row r="330">
      <c r="B330">
        <v>4</v>
      </c>
      <c r="C330" t="str">
        <v>这家宾馆跟别的都不一样</v>
      </c>
      <c r="D330" t="str">
        <v>司机</v>
      </c>
      <c r="E330" t="str">
        <v>Danh từ</v>
      </c>
      <c r="F330" t="str">
        <v>sījī</v>
      </c>
      <c r="G330" t="str">
        <v>Tài xế</v>
      </c>
      <c r="H330" t="str">
        <v>6. Đồ vật &amp; Công cụ</v>
      </c>
    </row>
    <row r="331">
      <c r="B331">
        <v>12</v>
      </c>
      <c r="C331" t="str">
        <v>这个季节天气变化很快</v>
      </c>
      <c r="D331" t="str">
        <v>四季</v>
      </c>
      <c r="E331" t="str">
        <v>Danh từ</v>
      </c>
      <c r="F331" t="str">
        <v>sìjì</v>
      </c>
      <c r="G331" t="str">
        <v>Bốn mùa</v>
      </c>
      <c r="H331" t="str">
        <v>10. Thời gian</v>
      </c>
    </row>
    <row r="332">
      <c r="B332">
        <v>5</v>
      </c>
      <c r="C332" t="str">
        <v>这样的照片才好看</v>
      </c>
      <c r="D332" t="str">
        <v>太阳</v>
      </c>
      <c r="E332" t="str">
        <v>Danh từ</v>
      </c>
      <c r="F332" t="str">
        <v>tàiyáng</v>
      </c>
      <c r="G332" t="str">
        <v>Mặt trời</v>
      </c>
      <c r="H332" t="str">
        <v>16. Tự nhiên</v>
      </c>
    </row>
    <row r="333">
      <c r="B333">
        <v>4</v>
      </c>
      <c r="C333" t="str">
        <v>这家宾馆跟别的都不一样</v>
      </c>
      <c r="D333" t="str">
        <v>特别</v>
      </c>
      <c r="E333" t="str">
        <v>Tính từ, Phó từ</v>
      </c>
      <c r="F333" t="str">
        <v>tèbié</v>
      </c>
      <c r="G333" t="str">
        <v>Đặc biệt</v>
      </c>
      <c r="H333" t="str">
        <v>15. Công cụ ngữ pháp &amp; Cấu trúc</v>
      </c>
    </row>
    <row r="334">
      <c r="B334">
        <v>10</v>
      </c>
      <c r="C334" t="str">
        <v>你明天再把书还给我</v>
      </c>
      <c r="D334" t="str">
        <v>提高</v>
      </c>
      <c r="E334" t="str">
        <v>Động từ</v>
      </c>
      <c r="F334" t="str">
        <v>tígāo</v>
      </c>
      <c r="G334" t="str">
        <v>Nâng cao</v>
      </c>
      <c r="H334" t="str">
        <v>13. Miêu tả &amp; Đánh giá</v>
      </c>
    </row>
    <row r="335">
      <c r="B335">
        <v>9</v>
      </c>
      <c r="C335" t="str">
        <v>打不好没关系</v>
      </c>
      <c r="D335" t="str">
        <v>体育</v>
      </c>
      <c r="E335" t="str">
        <v>Danh từ</v>
      </c>
      <c r="F335" t="str">
        <v>tǐyù</v>
      </c>
      <c r="G335" t="str">
        <v>Thể dục</v>
      </c>
      <c r="H335" t="str">
        <v>6. Đồ vật &amp; Công cụ</v>
      </c>
    </row>
    <row r="336">
      <c r="B336">
        <v>8</v>
      </c>
      <c r="C336" t="str">
        <v>今天我出院了</v>
      </c>
      <c r="D336" t="str">
        <v>体育馆</v>
      </c>
      <c r="E336" t="str">
        <v>Danh từ</v>
      </c>
      <c r="F336" t="str">
        <v>tǐyùguǎn</v>
      </c>
      <c r="G336" t="str">
        <v>Nhà thi đấu thể dục thể thao</v>
      </c>
      <c r="H336" t="str">
        <v>5. Đời sống sinh hoạt</v>
      </c>
    </row>
    <row r="337">
      <c r="B337">
        <v>7</v>
      </c>
      <c r="C337" t="str">
        <v>那条裙子比短裤更好看</v>
      </c>
      <c r="D337" t="str">
        <v>甜</v>
      </c>
      <c r="E337" t="str">
        <v>Tính từ</v>
      </c>
      <c r="F337" t="str">
        <v>tián</v>
      </c>
      <c r="G337" t="str">
        <v>Ngọt</v>
      </c>
      <c r="H337" t="str">
        <v>13. Miêu tả &amp; Đánh giá</v>
      </c>
    </row>
    <row r="338">
      <c r="B338">
        <v>14</v>
      </c>
      <c r="C338" t="str">
        <v>这本书被别人借走了</v>
      </c>
      <c r="D338" t="str">
        <v>跳</v>
      </c>
      <c r="E338" t="str">
        <v>Động từ</v>
      </c>
      <c r="F338" t="str">
        <v>tiào</v>
      </c>
      <c r="G338" t="str">
        <v>Nhảy</v>
      </c>
      <c r="H338" t="str">
        <v>5. Đời sống sinh hoạt</v>
      </c>
    </row>
    <row r="339">
      <c r="B339">
        <v>3</v>
      </c>
      <c r="C339" t="str">
        <v>这个小区挺好的</v>
      </c>
      <c r="D339" t="str">
        <v>听说</v>
      </c>
      <c r="E339" t="str">
        <v>Động từ</v>
      </c>
      <c r="F339" t="str">
        <v>tīngshuō</v>
      </c>
      <c r="G339" t="str">
        <v>Nghe nói</v>
      </c>
      <c r="H339" t="str">
        <v>5. Đời sống sinh hoạt</v>
      </c>
    </row>
    <row r="340">
      <c r="B340">
        <v>3</v>
      </c>
      <c r="C340" t="str">
        <v>这个小区挺好的</v>
      </c>
      <c r="D340" t="str">
        <v>挺</v>
      </c>
      <c r="E340" t="str">
        <v>Phó từ</v>
      </c>
      <c r="F340" t="str">
        <v>tǐng</v>
      </c>
      <c r="G340" t="str">
        <v>Rất, khá là</v>
      </c>
      <c r="H340" t="str">
        <v>15. Công cụ ngữ pháp &amp; Cấu trúc</v>
      </c>
    </row>
    <row r="341">
      <c r="B341">
        <v>11</v>
      </c>
      <c r="C341" t="str">
        <v>看来我还没办法解决这个问题</v>
      </c>
      <c r="D341" t="str">
        <v>同事</v>
      </c>
      <c r="E341" t="str">
        <v>Danh từ</v>
      </c>
      <c r="F341" t="str">
        <v>tóngshì</v>
      </c>
      <c r="G341" t="str">
        <v>Đồng nghiệp</v>
      </c>
      <c r="H341" t="str">
        <v>12. Công việc &amp; Nghề nghiệp</v>
      </c>
    </row>
    <row r="342">
      <c r="B342">
        <v>17</v>
      </c>
      <c r="C342" t="str">
        <v>我要多向认真的人学习</v>
      </c>
      <c r="D342" t="str">
        <v>同意</v>
      </c>
      <c r="E342" t="str">
        <v>Động từ</v>
      </c>
      <c r="F342" t="str">
        <v>tóngyì</v>
      </c>
      <c r="G342" t="str">
        <v>Đồng ý</v>
      </c>
      <c r="H342" t="str">
        <v>4. Tư duy &amp; Nhận thức</v>
      </c>
    </row>
    <row r="343">
      <c r="B343">
        <v>1</v>
      </c>
      <c r="C343" t="str">
        <v>我们去机场接你们</v>
      </c>
      <c r="D343" t="str">
        <v>头发</v>
      </c>
      <c r="E343" t="str">
        <v>Danh từ</v>
      </c>
      <c r="F343" t="str">
        <v>tóufa</v>
      </c>
      <c r="G343" t="str">
        <v>Tóc</v>
      </c>
      <c r="H343" t="str">
        <v>2. Cơ thể &amp; Sức khỏe</v>
      </c>
    </row>
    <row r="344">
      <c r="B344">
        <v>8</v>
      </c>
      <c r="C344" t="str">
        <v>今天我出院了</v>
      </c>
      <c r="D344" t="str">
        <v>突然</v>
      </c>
      <c r="E344" t="str">
        <v>Tính từ</v>
      </c>
      <c r="F344" t="str">
        <v>tūrán</v>
      </c>
      <c r="G344" t="str">
        <v>Đột nhiên</v>
      </c>
      <c r="H344" t="str">
        <v>13. Miêu tả &amp; Đánh giá</v>
      </c>
    </row>
    <row r="345">
      <c r="B345">
        <v>14</v>
      </c>
      <c r="C345" t="str">
        <v>这本书被别人借走了</v>
      </c>
      <c r="D345" t="str">
        <v>图书馆</v>
      </c>
      <c r="E345" t="str">
        <v>Danh từ</v>
      </c>
      <c r="F345" t="str">
        <v>túshūguǎn</v>
      </c>
      <c r="G345" t="str">
        <v>Thư viện</v>
      </c>
      <c r="H345" t="str">
        <v>6. Đồ vật &amp; Công cụ</v>
      </c>
    </row>
    <row r="346">
      <c r="B346">
        <v>8</v>
      </c>
      <c r="C346" t="str">
        <v>今天我出院了</v>
      </c>
      <c r="D346" t="str">
        <v>腿</v>
      </c>
      <c r="E346" t="str">
        <v>Danh từ</v>
      </c>
      <c r="F346" t="str">
        <v>tuǐ</v>
      </c>
      <c r="G346" t="str">
        <v>Chân</v>
      </c>
      <c r="H346" t="str">
        <v>2. Cơ thể &amp; Sức khỏe</v>
      </c>
    </row>
    <row r="347">
      <c r="B347">
        <v>15</v>
      </c>
      <c r="C347" t="str">
        <v>我是半个南京人</v>
      </c>
      <c r="D347" t="str">
        <v>外地</v>
      </c>
      <c r="E347" t="str">
        <v>Danh từ</v>
      </c>
      <c r="F347" t="str">
        <v>wàidì</v>
      </c>
      <c r="G347" t="str">
        <v>Ngoại tỉnh, nơi khác</v>
      </c>
      <c r="H347" t="str">
        <v>7. Địa điểm &amp; Nơi chốn</v>
      </c>
    </row>
    <row r="348">
      <c r="B348">
        <v>2</v>
      </c>
      <c r="C348" t="str">
        <v>你们想吃什么就点什么</v>
      </c>
      <c r="D348" t="str">
        <v>外卖</v>
      </c>
      <c r="E348" t="str">
        <v>Danh từ</v>
      </c>
      <c r="F348" t="str">
        <v>wàimài</v>
      </c>
      <c r="G348" t="str">
        <v>Đồ ăn mang về (takeaway)</v>
      </c>
      <c r="H348" t="str">
        <v>5. Đời sống sinh hoạt</v>
      </c>
    </row>
    <row r="349">
      <c r="B349">
        <v>10</v>
      </c>
      <c r="C349" t="str">
        <v>你明天再把书还给我</v>
      </c>
      <c r="D349" t="str">
        <v>外语</v>
      </c>
      <c r="E349" t="str">
        <v>Danh từ</v>
      </c>
      <c r="F349" t="str">
        <v>wàiyǔ</v>
      </c>
      <c r="G349" t="str">
        <v>Ngoại ngữ</v>
      </c>
      <c r="H349" t="str">
        <v>6. Đồ vật &amp; Công cụ</v>
      </c>
    </row>
    <row r="350">
      <c r="B350">
        <v>18</v>
      </c>
      <c r="C350" t="str">
        <v>我学会了包饺子</v>
      </c>
      <c r="D350" t="str">
        <v>完成</v>
      </c>
      <c r="E350" t="str">
        <v>Động từ</v>
      </c>
      <c r="F350" t="str">
        <v>wánchéng</v>
      </c>
      <c r="G350" t="str">
        <v>Hoàn thành</v>
      </c>
      <c r="H350" t="str">
        <v>5. Đời sống sinh hoạt</v>
      </c>
    </row>
    <row r="351">
      <c r="B351">
        <v>4</v>
      </c>
      <c r="C351" t="str">
        <v>这家宾馆跟别的都不一样</v>
      </c>
      <c r="D351" t="str">
        <v>晚点</v>
      </c>
      <c r="E351" t="str">
        <v>Danh từ</v>
      </c>
      <c r="F351" t="str">
        <v>wǎndiǎn</v>
      </c>
      <c r="G351" t="str">
        <v>Trễ, muộn (thường dùng cho tàu xe, máy bay)</v>
      </c>
      <c r="H351" t="str">
        <v>6. Đồ vật &amp; Công cụ</v>
      </c>
    </row>
    <row r="352">
      <c r="B352">
        <v>13</v>
      </c>
      <c r="C352" t="str">
        <v>我的邻居来自英国</v>
      </c>
      <c r="D352" t="str">
        <v>晚会</v>
      </c>
      <c r="E352" t="str">
        <v>Danh từ</v>
      </c>
      <c r="F352" t="str">
        <v>wǎnhuì</v>
      </c>
      <c r="G352" t="str">
        <v>Dạ hội, tiệc tối</v>
      </c>
      <c r="H352" t="str">
        <v>10. Thời gian</v>
      </c>
    </row>
    <row r="353">
      <c r="B353">
        <v>2</v>
      </c>
      <c r="C353" t="str">
        <v>你们想吃什么就点什么</v>
      </c>
      <c r="D353" t="str">
        <v>碗</v>
      </c>
      <c r="E353" t="str">
        <v>Lượng từ</v>
      </c>
      <c r="F353" t="str">
        <v>wǎn</v>
      </c>
      <c r="G353" t="str">
        <v>Cái bát (cái tô)</v>
      </c>
      <c r="H353" t="str">
        <v>14. Số lượng &amp; Đo lường</v>
      </c>
    </row>
    <row r="354">
      <c r="B354">
        <v>9</v>
      </c>
      <c r="C354" t="str">
        <v>打不好没关系</v>
      </c>
      <c r="D354" t="str">
        <v>网球</v>
      </c>
      <c r="E354" t="str">
        <v>Danh từ</v>
      </c>
      <c r="F354" t="str">
        <v>wǎngqiú</v>
      </c>
      <c r="G354" t="str">
        <v>Quần vợt (tennis)</v>
      </c>
      <c r="H354" t="str">
        <v>1. Con người &amp; Các mối quan hệ</v>
      </c>
    </row>
    <row r="355">
      <c r="B355">
        <v>14</v>
      </c>
      <c r="C355" t="str">
        <v>这本书被别人借走了</v>
      </c>
      <c r="D355" t="str">
        <v>网站</v>
      </c>
      <c r="E355" t="str">
        <v>Danh từ</v>
      </c>
      <c r="F355" t="str">
        <v>wǎngzhàn</v>
      </c>
      <c r="G355" t="str">
        <v>Trang web (website)</v>
      </c>
      <c r="H355" t="str">
        <v>6. Đồ vật &amp; Công cụ</v>
      </c>
    </row>
    <row r="356">
      <c r="B356">
        <v>14</v>
      </c>
      <c r="C356" t="str">
        <v>这本书被别人借走了</v>
      </c>
      <c r="D356" t="str">
        <v>忘记</v>
      </c>
      <c r="E356" t="str">
        <v>Động từ</v>
      </c>
      <c r="F356" t="str">
        <v>wàngjì</v>
      </c>
      <c r="G356" t="str">
        <v>Quên</v>
      </c>
      <c r="H356" t="str">
        <v>4. Tư duy &amp; Nhận thức</v>
      </c>
    </row>
    <row r="357">
      <c r="B357">
        <v>3</v>
      </c>
      <c r="C357" t="str">
        <v>这个小区挺好的</v>
      </c>
      <c r="D357" t="str">
        <v>卫生间</v>
      </c>
      <c r="E357" t="str">
        <v>Danh từ</v>
      </c>
      <c r="F357" t="str">
        <v>wèishēngjiān</v>
      </c>
      <c r="G357" t="str">
        <v>Nhà vệ sinh</v>
      </c>
      <c r="H357" t="str">
        <v>7. Địa điểm &amp; Nơi chốn</v>
      </c>
    </row>
    <row r="358">
      <c r="B358">
        <v>11</v>
      </c>
      <c r="C358" t="str">
        <v>看来我还没办法解决这个问题</v>
      </c>
      <c r="D358" t="str">
        <v>为</v>
      </c>
      <c r="E358" t="str">
        <v>Giới từ</v>
      </c>
      <c r="F358" t="str">
        <v>wèi</v>
      </c>
      <c r="G358" t="str">
        <v>Vì, cho</v>
      </c>
      <c r="H358" t="str">
        <v>15. Công cụ ngữ pháp &amp; Cấu trúc</v>
      </c>
    </row>
    <row r="359">
      <c r="B359">
        <v>9</v>
      </c>
      <c r="C359" t="str">
        <v>打不好没关系</v>
      </c>
      <c r="D359" t="str">
        <v>为了</v>
      </c>
      <c r="E359" t="str">
        <v>Giới từ</v>
      </c>
      <c r="F359" t="str">
        <v>wèile</v>
      </c>
      <c r="G359" t="str">
        <v>Để, vì mục đích</v>
      </c>
      <c r="H359" t="str">
        <v>15. Công cụ ngữ pháp &amp; Cấu trúc</v>
      </c>
    </row>
    <row r="360">
      <c r="B360">
        <v>13</v>
      </c>
      <c r="C360" t="str">
        <v>我的邻居来自英国</v>
      </c>
      <c r="D360" t="str">
        <v>文化</v>
      </c>
      <c r="E360" t="str">
        <v>Danh từ</v>
      </c>
      <c r="F360" t="str">
        <v>wénhuà</v>
      </c>
      <c r="G360" t="str">
        <v>Văn hóa</v>
      </c>
      <c r="H360" t="str">
        <v>5. Đời sống sinh hoạt</v>
      </c>
    </row>
    <row r="361">
      <c r="B361">
        <v>17</v>
      </c>
      <c r="C361" t="str">
        <v>我要多向认真的人学习</v>
      </c>
      <c r="D361" t="str">
        <v>屋子</v>
      </c>
      <c r="E361" t="str">
        <v>Danh từ</v>
      </c>
      <c r="F361" t="str">
        <v>wūzi</v>
      </c>
      <c r="G361" t="str">
        <v>Căn phòng, nhà</v>
      </c>
      <c r="H361" t="str">
        <v>5. Đời sống sinh hoạt</v>
      </c>
    </row>
    <row r="362">
      <c r="B362">
        <v>15</v>
      </c>
      <c r="C362" t="str">
        <v>我是半个南京人</v>
      </c>
      <c r="D362" t="str">
        <v>西北</v>
      </c>
      <c r="E362" t="str">
        <v>Danh từ</v>
      </c>
      <c r="F362" t="str">
        <v>xīběi</v>
      </c>
      <c r="G362" t="str">
        <v>Tây Bắc</v>
      </c>
      <c r="H362" t="str">
        <v>6. Đồ vật &amp; Công cụ</v>
      </c>
    </row>
    <row r="363">
      <c r="B363">
        <v>7</v>
      </c>
      <c r="C363" t="str">
        <v>那条裙子比短裤更好看</v>
      </c>
      <c r="D363" t="str">
        <v>西瓜</v>
      </c>
      <c r="E363" t="str">
        <v>Danh từ</v>
      </c>
      <c r="F363" t="str">
        <v>xīguā</v>
      </c>
      <c r="G363" t="str">
        <v>Dưa hấu</v>
      </c>
      <c r="H363" t="str">
        <v>6. Đồ vật &amp; Công cụ</v>
      </c>
    </row>
    <row r="364">
      <c r="B364">
        <v>8</v>
      </c>
      <c r="C364" t="str">
        <v>今天我出院了</v>
      </c>
      <c r="D364" t="str">
        <v>习惯</v>
      </c>
      <c r="E364" t="str">
        <v>Danh từ, Động từ</v>
      </c>
      <c r="F364" t="str">
        <v>xíguàn</v>
      </c>
      <c r="G364" t="str">
        <v>Thói quen</v>
      </c>
      <c r="H364" t="str">
        <v>5. Đời sống sinh hoạt</v>
      </c>
    </row>
    <row r="365">
      <c r="B365">
        <v>3</v>
      </c>
      <c r="C365" t="str">
        <v>这个小区挺好的</v>
      </c>
      <c r="D365" t="str">
        <v>洗衣机</v>
      </c>
      <c r="E365" t="str">
        <v>Danh từ</v>
      </c>
      <c r="F365" t="str">
        <v>xǐyījī</v>
      </c>
      <c r="G365" t="str">
        <v>Máy giặt</v>
      </c>
      <c r="H365" t="str">
        <v>5. Đời sống sinh hoạt</v>
      </c>
    </row>
    <row r="366">
      <c r="B366">
        <v>16</v>
      </c>
      <c r="C366" t="str">
        <v>我听说有的熊猫出国了</v>
      </c>
      <c r="D366" t="str">
        <v>喜爱</v>
      </c>
      <c r="E366" t="str">
        <v>Động từ</v>
      </c>
      <c r="F366" t="str">
        <v>xǐ'ài</v>
      </c>
      <c r="G366" t="str">
        <v>Yêu thích</v>
      </c>
      <c r="H366" t="str">
        <v>3. Cảm xúc &amp; Thái độ</v>
      </c>
    </row>
    <row r="367">
      <c r="B367">
        <v>12</v>
      </c>
      <c r="C367" t="str">
        <v>这个季节天气变化很快</v>
      </c>
      <c r="D367" t="str">
        <v>夏天</v>
      </c>
      <c r="E367" t="str">
        <v>Danh từ</v>
      </c>
      <c r="F367" t="str">
        <v>xiàtiān</v>
      </c>
      <c r="G367" t="str">
        <v>Mùa hè</v>
      </c>
      <c r="H367" t="str">
        <v>10. Thời gian</v>
      </c>
    </row>
    <row r="368">
      <c r="B368">
        <v>4</v>
      </c>
      <c r="C368" t="str">
        <v>这家宾馆跟别的都不一样</v>
      </c>
      <c r="D368" t="str">
        <v>先</v>
      </c>
      <c r="E368" t="str">
        <v>Phó từ</v>
      </c>
      <c r="F368" t="str">
        <v>xiān</v>
      </c>
      <c r="G368" t="str">
        <v>Trước</v>
      </c>
      <c r="H368" t="str">
        <v>15. Công cụ ngữ pháp &amp; Cấu trúc</v>
      </c>
    </row>
    <row r="369">
      <c r="B369">
        <v>14</v>
      </c>
      <c r="C369" t="str">
        <v>这本书被别人借走了</v>
      </c>
      <c r="D369" t="str">
        <v>相信</v>
      </c>
      <c r="E369" t="str">
        <v>Động từ</v>
      </c>
      <c r="F369" t="str">
        <v>xiāngxìn</v>
      </c>
      <c r="G369" t="str">
        <v>Tin tưởng</v>
      </c>
      <c r="H369" t="str">
        <v>4. Tư duy &amp; Nhận thức</v>
      </c>
    </row>
    <row r="370">
      <c r="B370">
        <v>7</v>
      </c>
      <c r="C370" t="str">
        <v>那条裙子比短裤更好看</v>
      </c>
      <c r="D370" t="str">
        <v>香蕉</v>
      </c>
      <c r="E370" t="str">
        <v>Danh từ</v>
      </c>
      <c r="F370" t="str">
        <v>xiāngjiāo</v>
      </c>
      <c r="G370" t="str">
        <v>Chuối</v>
      </c>
      <c r="H370" t="str">
        <v>6. Đồ vật &amp; Công cụ</v>
      </c>
    </row>
    <row r="371">
      <c r="B371">
        <v>1</v>
      </c>
      <c r="C371" t="str">
        <v>我们去机场接你们</v>
      </c>
      <c r="D371" t="str">
        <v>箱子</v>
      </c>
      <c r="E371" t="str">
        <v>Danh từ</v>
      </c>
      <c r="F371" t="str">
        <v>xiāngzi</v>
      </c>
      <c r="G371" t="str">
        <v>Cái hòm, vali</v>
      </c>
      <c r="H371" t="str">
        <v>5. Đời sống sinh hoạt</v>
      </c>
    </row>
    <row r="372">
      <c r="B372">
        <v>17</v>
      </c>
      <c r="D372" t="str">
        <v>向</v>
      </c>
      <c r="E372" t="str">
        <v>Động từ, Giới từ</v>
      </c>
      <c r="F372" t="str">
        <v>xiàng</v>
      </c>
      <c r="G372" t="str">
        <v>Hướng về</v>
      </c>
      <c r="H372" t="str">
        <v>15. Công cụ ngữ pháp &amp; Cấu trúc</v>
      </c>
    </row>
    <row r="373">
      <c r="B373">
        <v>4</v>
      </c>
      <c r="C373" t="str">
        <v>这家宾馆跟别的都不一样</v>
      </c>
      <c r="D373" t="str">
        <v>相机</v>
      </c>
      <c r="E373" t="str">
        <v>Danh từ</v>
      </c>
      <c r="F373" t="str">
        <v>xiàngjī</v>
      </c>
      <c r="G373" t="str">
        <v>Máy ảnh</v>
      </c>
      <c r="H373" t="str">
        <v>6. Đồ vật &amp; Công cụ</v>
      </c>
    </row>
    <row r="374">
      <c r="B374">
        <v>1</v>
      </c>
      <c r="C374" t="str">
        <v>我们去机场接你们</v>
      </c>
      <c r="D374" t="str">
        <v>像</v>
      </c>
      <c r="E374" t="str">
        <v>Động từ</v>
      </c>
      <c r="F374" t="str">
        <v>xiàng</v>
      </c>
      <c r="G374" t="str">
        <v>Giống như</v>
      </c>
      <c r="H374" t="str">
        <v>13. Miêu tả &amp; Đánh giá</v>
      </c>
    </row>
    <row r="375">
      <c r="B375">
        <v>3</v>
      </c>
      <c r="C375" t="str">
        <v>这个小区挺好的</v>
      </c>
      <c r="D375" t="str">
        <v>小区</v>
      </c>
      <c r="E375" t="str">
        <v>Danh từ</v>
      </c>
      <c r="F375" t="str">
        <v>xiǎoqū</v>
      </c>
      <c r="G375" t="str">
        <v>Khu dân cư</v>
      </c>
      <c r="H375" t="str">
        <v>6. Đồ vật &amp; Công cụ</v>
      </c>
    </row>
    <row r="376">
      <c r="B376">
        <v>6</v>
      </c>
      <c r="C376" t="str">
        <v>高铁上还可以点外卖</v>
      </c>
      <c r="D376" t="str">
        <v>小心</v>
      </c>
      <c r="E376" t="str">
        <v>Tính từ</v>
      </c>
      <c r="F376" t="str">
        <v>xiǎoxīn</v>
      </c>
      <c r="G376" t="str">
        <v>Cẩn thận</v>
      </c>
      <c r="H376" t="str">
        <v>13. Miêu tả &amp; Đánh giá</v>
      </c>
    </row>
    <row r="377">
      <c r="B377">
        <v>9</v>
      </c>
      <c r="C377" t="str">
        <v>打不好没关系</v>
      </c>
      <c r="D377" t="str">
        <v>校园</v>
      </c>
      <c r="E377" t="str">
        <v>Danh từ</v>
      </c>
      <c r="F377" t="str">
        <v>xiàoyuán</v>
      </c>
      <c r="G377" t="str">
        <v>Khuôn viên trường</v>
      </c>
      <c r="H377" t="str">
        <v>6. Đồ vật &amp; Công cụ</v>
      </c>
    </row>
    <row r="378">
      <c r="B378">
        <v>14</v>
      </c>
      <c r="C378" t="str">
        <v>这本书被别人借走了</v>
      </c>
      <c r="D378" t="str">
        <v>校长</v>
      </c>
      <c r="E378" t="str">
        <v>Danh từ</v>
      </c>
      <c r="F378" t="str">
        <v>xiàozhǎng</v>
      </c>
      <c r="G378" t="str">
        <v>Hiệu trưởng</v>
      </c>
      <c r="H378" t="str">
        <v>6. Đồ vật &amp; Công cụ</v>
      </c>
    </row>
    <row r="379">
      <c r="B379">
        <v>5</v>
      </c>
      <c r="C379" t="str">
        <v>这样的照片才好看</v>
      </c>
      <c r="D379" t="str">
        <v>鞋</v>
      </c>
      <c r="E379" t="str">
        <v>Danh từ</v>
      </c>
      <c r="F379" t="str">
        <v>xié</v>
      </c>
      <c r="G379" t="str">
        <v>Giày</v>
      </c>
      <c r="H379" t="str">
        <v>5. Đời sống sinh hoạt</v>
      </c>
    </row>
    <row r="380">
      <c r="B380">
        <v>8</v>
      </c>
      <c r="C380" t="str">
        <v>今天我出院了</v>
      </c>
      <c r="D380" t="str">
        <v>心里</v>
      </c>
      <c r="E380" t="str">
        <v>Danh từ</v>
      </c>
      <c r="F380" t="str">
        <v>xīnlǐ</v>
      </c>
      <c r="G380" t="str">
        <v>Trong lòng</v>
      </c>
      <c r="H380" t="str">
        <v>9. Không gian &amp; Vị trí</v>
      </c>
    </row>
    <row r="381">
      <c r="B381">
        <v>14</v>
      </c>
      <c r="C381" t="str">
        <v>这本书被别人借走了</v>
      </c>
      <c r="D381" t="str">
        <v>新年</v>
      </c>
      <c r="E381" t="str">
        <v>Danh từ</v>
      </c>
      <c r="F381" t="str">
        <v>xīnnián</v>
      </c>
      <c r="G381" t="str">
        <v>Năm mới</v>
      </c>
      <c r="H381" t="str">
        <v>10. Thời gian</v>
      </c>
    </row>
    <row r="382">
      <c r="B382">
        <v>12</v>
      </c>
      <c r="C382" t="str">
        <v>这个季节天气变化很快</v>
      </c>
      <c r="D382" t="str">
        <v>新闻</v>
      </c>
      <c r="E382" t="str">
        <v>Danh từ</v>
      </c>
      <c r="F382" t="str">
        <v>xīnwén</v>
      </c>
      <c r="G382" t="str">
        <v>Tin tức</v>
      </c>
      <c r="H382" t="str">
        <v>3. Cảm xúc &amp; Thái độ</v>
      </c>
    </row>
    <row r="383">
      <c r="B383">
        <v>7</v>
      </c>
      <c r="C383" t="str">
        <v>那条裙子比短裤更好看</v>
      </c>
      <c r="D383" t="str">
        <v>新鲜</v>
      </c>
      <c r="E383" t="str">
        <v>Tính từ</v>
      </c>
      <c r="F383" t="str">
        <v>xīnxiān</v>
      </c>
      <c r="G383" t="str">
        <v>Tươi mới</v>
      </c>
      <c r="H383" t="str">
        <v>13. Miêu tả &amp; Đánh giá</v>
      </c>
    </row>
    <row r="384">
      <c r="B384">
        <v>3</v>
      </c>
      <c r="C384" t="str">
        <v>这个小区挺好的</v>
      </c>
      <c r="D384" t="str">
        <v>信用卡</v>
      </c>
      <c r="E384" t="str">
        <v>Danh từ</v>
      </c>
      <c r="F384" t="str">
        <v>xìnyòngkǎ</v>
      </c>
      <c r="G384" t="str">
        <v>Thẻ tín dụng</v>
      </c>
      <c r="H384" t="str">
        <v>5. Đời sống sinh hoạt</v>
      </c>
    </row>
    <row r="385">
      <c r="B385">
        <v>6</v>
      </c>
      <c r="D385" t="str">
        <v>行</v>
      </c>
      <c r="E385" t="str">
        <v>Động từ, Tính từ</v>
      </c>
      <c r="F385" t="str">
        <v>xíng</v>
      </c>
      <c r="G385" t="str">
        <v>Được, đi</v>
      </c>
      <c r="H385" t="str">
        <v>8. Giao thông &amp; Di chuyển</v>
      </c>
    </row>
    <row r="386">
      <c r="B386">
        <v>1</v>
      </c>
      <c r="C386" t="str">
        <v>我们去机场接你们</v>
      </c>
      <c r="D386" t="str">
        <v>行李</v>
      </c>
      <c r="E386" t="str">
        <v>Danh từ</v>
      </c>
      <c r="F386" t="str">
        <v>xíngli</v>
      </c>
      <c r="G386" t="str">
        <v>Hành lý</v>
      </c>
      <c r="H386" t="str">
        <v>8. Giao thông &amp; Di chuyển</v>
      </c>
    </row>
    <row r="387">
      <c r="B387">
        <v>5</v>
      </c>
      <c r="C387" t="str">
        <v>这样的照片才好看</v>
      </c>
      <c r="D387" t="str">
        <v>兴趣</v>
      </c>
      <c r="E387" t="str">
        <v>Danh từ</v>
      </c>
      <c r="F387" t="str">
        <v>xìngqù</v>
      </c>
      <c r="G387" t="str">
        <v>Hứng thú</v>
      </c>
      <c r="H387" t="str">
        <v>3. Cảm xúc &amp; Thái độ</v>
      </c>
    </row>
    <row r="388">
      <c r="B388">
        <v>11</v>
      </c>
      <c r="C388" t="str">
        <v>看来我还没办法解决这个问题</v>
      </c>
      <c r="D388" t="str">
        <v>休假</v>
      </c>
      <c r="E388" t="str">
        <v>Động từ</v>
      </c>
      <c r="F388" t="str">
        <v>xiūjià</v>
      </c>
      <c r="G388" t="str">
        <v>Nghỉ phép</v>
      </c>
      <c r="H388" t="str">
        <v>10. Thời gian</v>
      </c>
    </row>
    <row r="389">
      <c r="B389">
        <v>3</v>
      </c>
      <c r="C389" t="str">
        <v>这个小区挺好的</v>
      </c>
      <c r="D389" t="str">
        <v>需要</v>
      </c>
      <c r="E389" t="str">
        <v>Danh từ, Động từ</v>
      </c>
      <c r="F389" t="str">
        <v>xūyào</v>
      </c>
      <c r="G389" t="str">
        <v>Cần, nhu cầu</v>
      </c>
      <c r="H389" t="str">
        <v>5. Đời sống sinh hoạt</v>
      </c>
    </row>
    <row r="390">
      <c r="B390">
        <v>2</v>
      </c>
      <c r="C390" t="str">
        <v>你们想吃什么就点什么</v>
      </c>
      <c r="D390" t="str">
        <v>选</v>
      </c>
      <c r="E390" t="str">
        <v>Động từ</v>
      </c>
      <c r="F390" t="str">
        <v>xuǎn</v>
      </c>
      <c r="G390" t="str">
        <v>Chọn</v>
      </c>
      <c r="H390" t="str">
        <v>1. Con người &amp; Các mối quan hệ</v>
      </c>
    </row>
    <row r="391">
      <c r="B391">
        <v>6</v>
      </c>
      <c r="C391" t="str">
        <v>高铁上还可以点外卖</v>
      </c>
      <c r="D391" t="str">
        <v>选择</v>
      </c>
      <c r="E391" t="str">
        <v>Động từ</v>
      </c>
      <c r="F391" t="str">
        <v>xuǎnzé</v>
      </c>
      <c r="G391" t="str">
        <v>Lựa chọn</v>
      </c>
      <c r="H391" t="str">
        <v>1. Con người &amp; Các mối quan hệ</v>
      </c>
    </row>
    <row r="392">
      <c r="B392">
        <v>18</v>
      </c>
      <c r="C392" t="str">
        <v>我学会了包饺子</v>
      </c>
      <c r="D392" t="str">
        <v>学期</v>
      </c>
      <c r="E392" t="str">
        <v>Danh từ</v>
      </c>
      <c r="F392" t="str">
        <v>xuéqī</v>
      </c>
      <c r="G392" t="str">
        <v>Học kỳ</v>
      </c>
      <c r="H392" t="str">
        <v>1. Con người &amp; Các mối quan hệ</v>
      </c>
    </row>
    <row r="393">
      <c r="B393">
        <v>4</v>
      </c>
      <c r="C393" t="str">
        <v>这家宾馆跟别的都不一样</v>
      </c>
      <c r="D393" t="str">
        <v>羊</v>
      </c>
      <c r="E393" t="str">
        <v>Danh từ</v>
      </c>
      <c r="F393" t="str">
        <v>yáng</v>
      </c>
      <c r="G393" t="str">
        <v>Con dê</v>
      </c>
      <c r="H393" t="str">
        <v>6. Đồ vật &amp; Công cụ</v>
      </c>
    </row>
    <row r="394">
      <c r="B394">
        <v>15</v>
      </c>
      <c r="C394" t="str">
        <v>我是半个南京人</v>
      </c>
      <c r="D394" t="str">
        <v>养</v>
      </c>
      <c r="E394" t="str">
        <v>Động từ</v>
      </c>
      <c r="F394" t="str">
        <v>yǎng</v>
      </c>
      <c r="G394" t="str">
        <v>Nuôi</v>
      </c>
      <c r="H394" t="str">
        <v>5. Đời sống sinh hoạt</v>
      </c>
    </row>
    <row r="395">
      <c r="B395">
        <v>10</v>
      </c>
      <c r="C395" t="str">
        <v>你明天再把书还给我</v>
      </c>
      <c r="D395" t="str">
        <v>要求</v>
      </c>
      <c r="E395" t="str">
        <v>Danh từ</v>
      </c>
      <c r="F395" t="str">
        <v>yāoqiú</v>
      </c>
      <c r="G395" t="str">
        <v>Yêu cầu</v>
      </c>
      <c r="H395" t="str">
        <v>3. Cảm xúc &amp; Thái độ</v>
      </c>
    </row>
    <row r="396">
      <c r="B396">
        <v>16</v>
      </c>
      <c r="C396" t="str">
        <v>我听说有的熊猫出国了</v>
      </c>
      <c r="D396" t="str">
        <v>野生</v>
      </c>
      <c r="E396" t="str">
        <v>Tính từ</v>
      </c>
      <c r="F396" t="str">
        <v>yěshēng</v>
      </c>
      <c r="G396" t="str">
        <v>Hoang dã</v>
      </c>
      <c r="H396" t="str">
        <v>6. Đồ vật &amp; Công cụ</v>
      </c>
    </row>
    <row r="397">
      <c r="B397">
        <v>12</v>
      </c>
      <c r="C397" t="str">
        <v>这个季节天气变化很快</v>
      </c>
      <c r="D397" t="str">
        <v>叶子</v>
      </c>
      <c r="E397" t="str">
        <v>Danh từ</v>
      </c>
      <c r="F397" t="str">
        <v>yèzi</v>
      </c>
      <c r="G397" t="str">
        <v>Lá cây</v>
      </c>
      <c r="H397" t="str">
        <v>16. Tự nhiên</v>
      </c>
    </row>
    <row r="398">
      <c r="B398">
        <v>10</v>
      </c>
      <c r="C398" t="str">
        <v>你明天再把书还给我</v>
      </c>
      <c r="D398" t="str">
        <v>页</v>
      </c>
      <c r="E398" t="str">
        <v>Lượng từ</v>
      </c>
      <c r="F398" t="str">
        <v>yè</v>
      </c>
      <c r="G398" t="str">
        <v>Trang (sách)</v>
      </c>
      <c r="H398" t="str">
        <v>15. Công cụ ngữ pháp &amp; Cấu trúc</v>
      </c>
    </row>
    <row r="399">
      <c r="B399">
        <v>4</v>
      </c>
      <c r="C399" t="str">
        <v>这家宾馆跟别的都不一样</v>
      </c>
      <c r="D399" t="str">
        <v>一定</v>
      </c>
      <c r="E399" t="str">
        <v>Tính từ, Phó từ</v>
      </c>
      <c r="F399" t="str">
        <v>yídìng</v>
      </c>
      <c r="G399" t="str">
        <v>Nhất định</v>
      </c>
      <c r="H399" t="str">
        <v>15. Công cụ ngữ pháp &amp; Cấu trúc</v>
      </c>
    </row>
    <row r="400">
      <c r="B400">
        <v>7</v>
      </c>
      <c r="C400" t="str">
        <v>那条裙子比短裤更好看</v>
      </c>
      <c r="D400" t="str">
        <v>一共</v>
      </c>
      <c r="E400" t="str">
        <v>Phó từ</v>
      </c>
      <c r="F400" t="str">
        <v>yígòng</v>
      </c>
      <c r="G400" t="str">
        <v>Tổng cộng</v>
      </c>
      <c r="H400" t="str">
        <v>15. Công cụ ngữ pháp &amp; Cấu trúc</v>
      </c>
    </row>
    <row r="401">
      <c r="B401">
        <v>16</v>
      </c>
      <c r="C401" t="str">
        <v>我听说有的熊猫出国了</v>
      </c>
      <c r="D401" t="str">
        <v>一会儿</v>
      </c>
      <c r="F401" t="str">
        <v>yíhuìr</v>
      </c>
      <c r="G401" t="str">
        <v>Một lát</v>
      </c>
      <c r="H401" t="str">
        <v>14. Số lượng &amp; Đo lường</v>
      </c>
    </row>
    <row r="402">
      <c r="B402">
        <v>14</v>
      </c>
      <c r="C402" t="str">
        <v>这本书被别人借走了</v>
      </c>
      <c r="D402" t="str">
        <v>一块儿</v>
      </c>
      <c r="E402" t="str">
        <v>Danh từ, Phó từ</v>
      </c>
      <c r="F402" t="str">
        <v>yíkuàir</v>
      </c>
      <c r="G402" t="str">
        <v>Cùng nhau</v>
      </c>
      <c r="H402" t="str">
        <v>15. Công cụ ngữ pháp &amp; Cấu trúc</v>
      </c>
    </row>
    <row r="403">
      <c r="B403">
        <v>4</v>
      </c>
      <c r="C403" t="str">
        <v>这家宾馆跟别的都不一样</v>
      </c>
      <c r="D403" t="str">
        <v>一样</v>
      </c>
      <c r="E403" t="str">
        <v>Tính từ</v>
      </c>
      <c r="F403" t="str">
        <v>yíyàng</v>
      </c>
      <c r="G403" t="str">
        <v>Giống nhau</v>
      </c>
      <c r="H403" t="str">
        <v>13. Miêu tả &amp; Đánh giá</v>
      </c>
    </row>
    <row r="404">
      <c r="B404">
        <v>8</v>
      </c>
      <c r="C404" t="str">
        <v>今天我出院了</v>
      </c>
      <c r="D404" t="str">
        <v>以后</v>
      </c>
      <c r="E404" t="str">
        <v>Danh từ</v>
      </c>
      <c r="F404" t="str">
        <v>yǐhòu</v>
      </c>
      <c r="G404" t="str">
        <v>Sau này</v>
      </c>
      <c r="H404" t="str">
        <v>9. Không gian &amp; Vị trí</v>
      </c>
    </row>
    <row r="405">
      <c r="B405">
        <v>6</v>
      </c>
      <c r="C405" t="str">
        <v>高铁上还可以点外卖</v>
      </c>
      <c r="D405" t="str">
        <v>以前</v>
      </c>
      <c r="E405" t="str">
        <v>Danh từ</v>
      </c>
      <c r="F405" t="str">
        <v>yǐqián</v>
      </c>
      <c r="G405" t="str">
        <v>Trước đây</v>
      </c>
      <c r="H405" t="str">
        <v>9. Không gian &amp; Vị trí</v>
      </c>
    </row>
    <row r="406">
      <c r="B406">
        <v>15</v>
      </c>
      <c r="C406" t="str">
        <v>我是半个南京人</v>
      </c>
      <c r="D406" t="str">
        <v>以上</v>
      </c>
      <c r="E406" t="str">
        <v>Danh từ</v>
      </c>
      <c r="F406" t="str">
        <v>yǐshàng</v>
      </c>
      <c r="G406" t="str">
        <v>Trở lên</v>
      </c>
      <c r="H406" t="str">
        <v>6. Đồ vật &amp; Công cụ</v>
      </c>
    </row>
    <row r="407">
      <c r="B407">
        <v>4</v>
      </c>
      <c r="C407" t="str">
        <v>这家宾馆跟别的都不一样</v>
      </c>
      <c r="D407" t="str">
        <v>以外</v>
      </c>
      <c r="E407" t="str">
        <v>Danh từ</v>
      </c>
      <c r="F407" t="str">
        <v>yǐwài</v>
      </c>
      <c r="G407" t="str">
        <v>Ngoài ra</v>
      </c>
      <c r="H407" t="str">
        <v>9. Không gian &amp; Vị trí</v>
      </c>
    </row>
    <row r="408">
      <c r="B408">
        <v>1</v>
      </c>
      <c r="C408" t="str">
        <v>我们去机场接你们</v>
      </c>
      <c r="D408" t="str">
        <v>以为</v>
      </c>
      <c r="E408" t="str">
        <v>Động từ</v>
      </c>
      <c r="F408" t="str">
        <v>yǐwéi</v>
      </c>
      <c r="G408" t="str">
        <v>Cho rằng</v>
      </c>
      <c r="H408" t="str">
        <v>5. Đời sống sinh hoạt</v>
      </c>
    </row>
    <row r="409">
      <c r="B409">
        <v>10</v>
      </c>
      <c r="C409" t="str">
        <v>你明天再把书还给我</v>
      </c>
      <c r="D409" t="str">
        <v>一般</v>
      </c>
      <c r="E409" t="str">
        <v>Tính từ</v>
      </c>
      <c r="F409" t="str">
        <v>yìbān</v>
      </c>
      <c r="G409" t="str">
        <v>Thông thường</v>
      </c>
      <c r="H409" t="str">
        <v>1. Con người &amp; Các mối quan hệ</v>
      </c>
    </row>
    <row r="410">
      <c r="B410">
        <v>13</v>
      </c>
      <c r="C410" t="str">
        <v>我的邻居来自英国</v>
      </c>
      <c r="D410" t="str">
        <v>一边</v>
      </c>
      <c r="E410" t="str">
        <v>Phó từ</v>
      </c>
      <c r="F410" t="str">
        <v>yìbiān</v>
      </c>
      <c r="G410" t="str">
        <v>Một bên / Vừa... vừa...</v>
      </c>
      <c r="H410" t="str">
        <v>15. Công cụ ngữ pháp &amp; Cấu trúc</v>
      </c>
    </row>
    <row r="411">
      <c r="B411">
        <v>4</v>
      </c>
      <c r="C411" t="str">
        <v>这家宾馆跟别的都不一样</v>
      </c>
      <c r="D411" t="str">
        <v>一直</v>
      </c>
      <c r="E411" t="str">
        <v>Phó từ</v>
      </c>
      <c r="F411" t="str">
        <v>yìzhí</v>
      </c>
      <c r="G411" t="str">
        <v>Luôn luôn, thẳng</v>
      </c>
      <c r="H411" t="str">
        <v>15. Công cụ ngữ pháp &amp; Cấu trúc</v>
      </c>
    </row>
    <row r="412">
      <c r="B412">
        <v>5</v>
      </c>
      <c r="C412" t="str">
        <v>这样的照片才好看</v>
      </c>
      <c r="D412" t="str">
        <v>音乐</v>
      </c>
      <c r="E412" t="str">
        <v>Danh từ</v>
      </c>
      <c r="F412" t="str">
        <v>yīnyuè</v>
      </c>
      <c r="G412" t="str">
        <v>Âm nhạc</v>
      </c>
      <c r="H412" t="str">
        <v>10. Thời gian</v>
      </c>
    </row>
    <row r="413">
      <c r="B413">
        <v>3</v>
      </c>
      <c r="C413" t="str">
        <v>这个小区挺好的</v>
      </c>
      <c r="D413" t="str">
        <v>银行</v>
      </c>
      <c r="E413" t="str">
        <v>Danh từ</v>
      </c>
      <c r="F413" t="str">
        <v>yínháng</v>
      </c>
      <c r="G413" t="str">
        <v>Ngân hàng</v>
      </c>
      <c r="H413" t="str">
        <v>7. Địa điểm &amp; Nơi chốn</v>
      </c>
    </row>
    <row r="414">
      <c r="B414">
        <v>2</v>
      </c>
      <c r="C414" t="str">
        <v>你们想吃什么就点什么</v>
      </c>
      <c r="D414" t="str">
        <v>饮料</v>
      </c>
      <c r="E414" t="str">
        <v>Danh từ</v>
      </c>
      <c r="F414" t="str">
        <v>yǐnliào</v>
      </c>
      <c r="G414" t="str">
        <v>Đồ uống</v>
      </c>
      <c r="H414" t="str">
        <v>5. Đời sống sinh hoạt</v>
      </c>
    </row>
    <row r="415">
      <c r="B415">
        <v>1</v>
      </c>
      <c r="C415" t="str">
        <v>我们去机场接你们</v>
      </c>
      <c r="D415" t="str">
        <v>应该</v>
      </c>
      <c r="E415" t="str">
        <v>Động từ</v>
      </c>
      <c r="F415" t="str">
        <v>yīnggāi</v>
      </c>
      <c r="G415" t="str">
        <v>Nên</v>
      </c>
      <c r="H415" t="str">
        <v>5. Đời sống sinh hoạt</v>
      </c>
    </row>
    <row r="416">
      <c r="B416">
        <v>9</v>
      </c>
      <c r="C416" t="str">
        <v>打不好没关系</v>
      </c>
      <c r="D416" t="str">
        <v>影响</v>
      </c>
      <c r="E416" t="str">
        <v>Danh từ, Động từ</v>
      </c>
      <c r="F416" t="str">
        <v>yǐngxiǎng</v>
      </c>
      <c r="G416" t="str">
        <v>Ảnh hưởng</v>
      </c>
      <c r="H416" t="str">
        <v>6. Đồ vật &amp; Công cụ</v>
      </c>
    </row>
    <row r="417">
      <c r="B417">
        <v>2</v>
      </c>
      <c r="C417" t="str">
        <v>你们想吃什么就点什么</v>
      </c>
      <c r="D417" t="str">
        <v>用</v>
      </c>
      <c r="E417" t="str">
        <v>Động từ</v>
      </c>
      <c r="F417" t="str">
        <v>yòng</v>
      </c>
      <c r="G417" t="str">
        <v>Dùng, sử dụng</v>
      </c>
      <c r="H417" t="str">
        <v>5. Đời sống sinh hoạt</v>
      </c>
    </row>
    <row r="418">
      <c r="B418">
        <v>5</v>
      </c>
      <c r="C418" t="str">
        <v>这样的照片才好看</v>
      </c>
      <c r="D418" t="str">
        <v>邮件</v>
      </c>
      <c r="E418" t="str">
        <v>Danh từ</v>
      </c>
      <c r="F418" t="str">
        <v>yóujiàn</v>
      </c>
      <c r="G418" t="str">
        <v>Email, thư điện tử</v>
      </c>
      <c r="H418" t="str">
        <v>10. Thời gian</v>
      </c>
    </row>
    <row r="419">
      <c r="B419">
        <v>11</v>
      </c>
      <c r="C419" t="str">
        <v>看来我还没办法解决这个问题</v>
      </c>
      <c r="D419" t="str">
        <v>邮箱</v>
      </c>
      <c r="E419" t="str">
        <v>Danh từ</v>
      </c>
      <c r="F419" t="str">
        <v>yóuxiāng</v>
      </c>
      <c r="G419" t="str">
        <v>Hộp thư</v>
      </c>
      <c r="H419" t="str">
        <v>6. Đồ vật &amp; Công cụ</v>
      </c>
    </row>
    <row r="420">
      <c r="B420">
        <v>15</v>
      </c>
      <c r="C420" t="str">
        <v>我是半个南京人</v>
      </c>
      <c r="D420" t="str">
        <v>游客</v>
      </c>
      <c r="E420" t="str">
        <v>Danh từ</v>
      </c>
      <c r="F420" t="str">
        <v>yóukè</v>
      </c>
      <c r="G420" t="str">
        <v>Khách du lịch</v>
      </c>
      <c r="H420" t="str">
        <v>1. Con người &amp; Các mối quan hệ</v>
      </c>
    </row>
    <row r="421">
      <c r="B421">
        <v>15</v>
      </c>
      <c r="C421" t="str">
        <v>我是半个南京人</v>
      </c>
      <c r="D421" t="str">
        <v>游戏</v>
      </c>
      <c r="E421" t="str">
        <v>Danh từ</v>
      </c>
      <c r="F421" t="str">
        <v>yóuxì</v>
      </c>
      <c r="G421" t="str">
        <v>Trò chơi</v>
      </c>
      <c r="H421" t="str">
        <v>5. Đời sống sinh hoạt</v>
      </c>
    </row>
    <row r="422">
      <c r="B422">
        <v>17</v>
      </c>
      <c r="C422" t="str">
        <v>我要多向认真的人学习</v>
      </c>
      <c r="D422" t="str">
        <v>有关</v>
      </c>
      <c r="E422" t="str">
        <v>Động từ, Giới từ</v>
      </c>
      <c r="F422" t="str">
        <v>yǒuguān</v>
      </c>
      <c r="G422" t="str">
        <v>Liên quan</v>
      </c>
      <c r="H422" t="str">
        <v>15. Công cụ ngữ pháp &amp; Cấu trúc</v>
      </c>
    </row>
    <row r="423">
      <c r="B423">
        <v>15</v>
      </c>
      <c r="C423" t="str">
        <v>我是半个南京人</v>
      </c>
      <c r="D423" t="str">
        <v>有名</v>
      </c>
      <c r="E423" t="str">
        <v>Tính từ</v>
      </c>
      <c r="F423" t="str">
        <v>yǒumíng</v>
      </c>
      <c r="G423" t="str">
        <v>Nổi tiếng</v>
      </c>
      <c r="H423" t="str">
        <v>13. Miêu tả &amp; Đánh giá</v>
      </c>
    </row>
    <row r="424">
      <c r="B424">
        <v>14</v>
      </c>
      <c r="C424" t="str">
        <v>这本书被别人借走了</v>
      </c>
      <c r="D424" t="str">
        <v>有些</v>
      </c>
      <c r="E424" t="str">
        <v>Danh từ</v>
      </c>
      <c r="F424" t="str">
        <v>yǒuxiē</v>
      </c>
      <c r="G424" t="str">
        <v>Một vài</v>
      </c>
      <c r="H424" t="str">
        <v>14. Số lượng &amp; Đo lường</v>
      </c>
    </row>
    <row r="425">
      <c r="B425">
        <v>17</v>
      </c>
      <c r="C425" t="str">
        <v>我要多向认真的人学习</v>
      </c>
      <c r="D425" t="str">
        <v>有用</v>
      </c>
      <c r="E425" t="str">
        <v>Tính từ</v>
      </c>
      <c r="F425" t="str">
        <v>yǒuyòng</v>
      </c>
      <c r="G425" t="str">
        <v>Hữu ích</v>
      </c>
      <c r="H425" t="str">
        <v>13. Miêu tả &amp; Đánh giá</v>
      </c>
    </row>
    <row r="426">
      <c r="B426">
        <v>2</v>
      </c>
      <c r="C426" t="str">
        <v>你们想吃什么就点什么</v>
      </c>
      <c r="D426" t="str">
        <v>又</v>
      </c>
      <c r="E426" t="str">
        <v>Phó từ</v>
      </c>
      <c r="F426" t="str">
        <v>yòu</v>
      </c>
      <c r="G426" t="str">
        <v>Lại</v>
      </c>
      <c r="H426" t="str">
        <v>15. Công cụ ngữ pháp &amp; Cấu trúc</v>
      </c>
    </row>
    <row r="427">
      <c r="B427">
        <v>8</v>
      </c>
      <c r="C427" t="str">
        <v>今天我出院了</v>
      </c>
      <c r="D427" t="str">
        <v>羽毛球</v>
      </c>
      <c r="E427" t="str">
        <v>Danh từ</v>
      </c>
      <c r="F427" t="str">
        <v>yǔmáoqiú</v>
      </c>
      <c r="G427" t="str">
        <v>Cầu lông</v>
      </c>
      <c r="H427" t="str">
        <v>1. Con người &amp; Các mối quan hệ</v>
      </c>
    </row>
    <row r="428">
      <c r="B428">
        <v>12</v>
      </c>
      <c r="C428" t="str">
        <v>这个季节天气变化很快</v>
      </c>
      <c r="D428" t="str">
        <v>雨衣</v>
      </c>
      <c r="E428" t="str">
        <v>Danh từ</v>
      </c>
      <c r="F428" t="str">
        <v>yǔyī</v>
      </c>
      <c r="G428" t="str">
        <v>Áo mưa</v>
      </c>
      <c r="H428" t="str">
        <v>5. Đời sống sinh hoạt</v>
      </c>
    </row>
    <row r="429">
      <c r="B429">
        <v>10</v>
      </c>
      <c r="C429" t="str">
        <v>你明天再把书还给我</v>
      </c>
      <c r="D429" t="str">
        <v>遇到</v>
      </c>
      <c r="E429" t="str">
        <v>Động từ</v>
      </c>
      <c r="F429" t="str">
        <v>yùdào</v>
      </c>
      <c r="G429" t="str">
        <v>Gặp phải</v>
      </c>
      <c r="H429" t="str">
        <v>9. Không gian &amp; Vị trí</v>
      </c>
    </row>
    <row r="430">
      <c r="B430">
        <v>15</v>
      </c>
      <c r="C430" t="str">
        <v>我是半个南京人</v>
      </c>
      <c r="D430" t="str">
        <v>遇见</v>
      </c>
      <c r="E430" t="str">
        <v>Động từ</v>
      </c>
      <c r="F430" t="str">
        <v>yùjiàn</v>
      </c>
      <c r="G430" t="str">
        <v>Gặp gỡ</v>
      </c>
      <c r="H430" t="str">
        <v>5. Đời sống sinh hoạt</v>
      </c>
    </row>
    <row r="431">
      <c r="B431">
        <v>2</v>
      </c>
      <c r="C431" t="str">
        <v>你们想吃什么就点什么</v>
      </c>
      <c r="D431" t="str">
        <v>员</v>
      </c>
      <c r="E431" t="str">
        <v>Danh từ</v>
      </c>
      <c r="F431" t="str">
        <v>yuán</v>
      </c>
      <c r="G431" t="str">
        <v>Viên (nhân viên)</v>
      </c>
      <c r="H431" t="str">
        <v>12. Công việc &amp; Nghề nghiệp</v>
      </c>
    </row>
    <row r="432">
      <c r="B432">
        <v>11</v>
      </c>
      <c r="C432" t="str">
        <v>看来我还没办法解决这个问题</v>
      </c>
      <c r="D432" t="str">
        <v>愿意</v>
      </c>
      <c r="E432" t="str">
        <v>Động từ</v>
      </c>
      <c r="F432" t="str">
        <v>yuànyì</v>
      </c>
      <c r="G432" t="str">
        <v>Tình nguyện, muốn</v>
      </c>
      <c r="H432" t="str">
        <v>5. Đời sống sinh hoạt</v>
      </c>
    </row>
    <row r="433">
      <c r="B433">
        <v>4</v>
      </c>
      <c r="C433" t="str">
        <v>这家宾馆跟别的都不一样</v>
      </c>
      <c r="D433" t="str">
        <v>月亮</v>
      </c>
      <c r="E433" t="str">
        <v>Danh từ</v>
      </c>
      <c r="F433" t="str">
        <v>yuèliàng</v>
      </c>
      <c r="G433" t="str">
        <v>Mặt trăng</v>
      </c>
      <c r="H433" t="str">
        <v>5. Đời sống sinh hoạt</v>
      </c>
    </row>
    <row r="434">
      <c r="B434">
        <v>6</v>
      </c>
      <c r="C434" t="str">
        <v>高铁上还可以点外卖</v>
      </c>
      <c r="D434" t="str">
        <v>越</v>
      </c>
      <c r="E434" t="str">
        <v>Phó từ</v>
      </c>
      <c r="F434" t="str">
        <v>yuè</v>
      </c>
      <c r="G434" t="str">
        <v>Càng</v>
      </c>
      <c r="H434" t="str">
        <v>15. Công cụ ngữ pháp &amp; Cấu trúc</v>
      </c>
    </row>
    <row r="435">
      <c r="B435">
        <v>9</v>
      </c>
      <c r="C435" t="str">
        <v>打不好没关系</v>
      </c>
      <c r="D435" t="str">
        <v>运动会</v>
      </c>
      <c r="E435" t="str">
        <v>Danh từ</v>
      </c>
      <c r="F435" t="str">
        <v>yùndònghuì</v>
      </c>
      <c r="G435" t="str">
        <v>Đại hội thể thao</v>
      </c>
      <c r="H435" t="str">
        <v>5. Đời sống sinh hoạt</v>
      </c>
    </row>
    <row r="436">
      <c r="B436">
        <v>9</v>
      </c>
      <c r="C436" t="str">
        <v>打不好没关系</v>
      </c>
      <c r="D436" t="str">
        <v>运动员</v>
      </c>
      <c r="E436" t="str">
        <v>Danh từ</v>
      </c>
      <c r="F436" t="str">
        <v>yùndòngyuán</v>
      </c>
      <c r="G436" t="str">
        <v>Vận động viên</v>
      </c>
      <c r="H436" t="str">
        <v>6. Đồ vật &amp; Công cụ</v>
      </c>
    </row>
    <row r="437">
      <c r="B437">
        <v>3</v>
      </c>
      <c r="C437" t="str">
        <v>这个小区挺好的</v>
      </c>
      <c r="D437" t="str">
        <v>咱们</v>
      </c>
      <c r="E437" t="str">
        <v>Đại từ</v>
      </c>
      <c r="F437" t="str">
        <v>zánmen</v>
      </c>
      <c r="G437" t="str">
        <v>Chúng ta</v>
      </c>
      <c r="H437" t="str">
        <v>15. Công cụ ngữ pháp &amp; Cấu trúc</v>
      </c>
    </row>
    <row r="438">
      <c r="B438">
        <v>16</v>
      </c>
      <c r="C438" t="str">
        <v>我听说有的熊猫出国了</v>
      </c>
      <c r="D438" t="str">
        <v>脏</v>
      </c>
      <c r="E438" t="str">
        <v>Tính từ</v>
      </c>
      <c r="F438" t="str">
        <v>zāng</v>
      </c>
      <c r="G438" t="str">
        <v>Bẩn</v>
      </c>
      <c r="H438" t="str">
        <v>13. Miêu tả &amp; Đánh giá</v>
      </c>
    </row>
    <row r="439">
      <c r="B439">
        <v>14</v>
      </c>
      <c r="C439" t="str">
        <v>这本书被别人借走了</v>
      </c>
      <c r="D439" t="str">
        <v>怎么办</v>
      </c>
      <c r="F439" t="str">
        <v>zěnme bàn</v>
      </c>
      <c r="G439" t="str">
        <v>Làm thế nào</v>
      </c>
      <c r="H439" t="str">
        <v>5. Đời sống sinh hoạt</v>
      </c>
    </row>
    <row r="440">
      <c r="B440">
        <v>18</v>
      </c>
      <c r="C440" t="str">
        <v>我学会了包饺子</v>
      </c>
      <c r="D440" t="str">
        <v>怎样</v>
      </c>
      <c r="E440" t="str">
        <v>Đại từ</v>
      </c>
      <c r="F440" t="str">
        <v>zěnyàng</v>
      </c>
      <c r="G440" t="str">
        <v>Như thế nào</v>
      </c>
      <c r="H440" t="str">
        <v>15. Công cụ ngữ pháp &amp; Cấu trúc</v>
      </c>
    </row>
    <row r="441">
      <c r="B441">
        <v>1</v>
      </c>
      <c r="C441" t="str">
        <v>我们去机场接你们</v>
      </c>
      <c r="D441" t="str">
        <v>站</v>
      </c>
      <c r="E441" t="str">
        <v>Động từ</v>
      </c>
      <c r="F441" t="str">
        <v>zhàn</v>
      </c>
      <c r="G441" t="str">
        <v>Đứng / Ga</v>
      </c>
      <c r="H441" t="str">
        <v>5. Đời sống sinh hoạt</v>
      </c>
    </row>
    <row r="442">
      <c r="B442" t="str">
        <v>2, 16</v>
      </c>
      <c r="C442" t="str">
        <v>你们想吃什么就点什么</v>
      </c>
      <c r="D442" t="str">
        <v>张</v>
      </c>
      <c r="E442" t="str">
        <v>Lượng từ, Danh từ</v>
      </c>
      <c r="F442" t="str">
        <v>zhāng</v>
      </c>
      <c r="G442" t="str">
        <v>Trương (họ) / Tấm (lượng từ)</v>
      </c>
      <c r="H442" t="str">
        <v>15. Công cụ ngữ pháp &amp; Cấu trúc</v>
      </c>
    </row>
    <row r="443">
      <c r="B443">
        <v>1</v>
      </c>
      <c r="C443" t="str">
        <v>我们去机场接你们</v>
      </c>
      <c r="D443" t="str">
        <v>长</v>
      </c>
      <c r="E443" t="str">
        <v>Động từ</v>
      </c>
      <c r="F443" t="str">
        <v>zhǎng</v>
      </c>
      <c r="G443" t="str">
        <v>Lớn lên / Trưởng</v>
      </c>
      <c r="H443" t="str">
        <v>13. Miêu tả &amp; Đánh giá</v>
      </c>
    </row>
    <row r="444">
      <c r="B444">
        <v>1</v>
      </c>
      <c r="C444" t="str">
        <v>我们去机场接你们</v>
      </c>
      <c r="D444" t="str">
        <v>着急</v>
      </c>
      <c r="E444" t="str">
        <v>Tính từ</v>
      </c>
      <c r="F444" t="str">
        <v>zháojí</v>
      </c>
      <c r="G444" t="str">
        <v>Lo lắng</v>
      </c>
      <c r="H444" t="str">
        <v>3. Cảm xúc &amp; Thái độ</v>
      </c>
    </row>
    <row r="445">
      <c r="B445">
        <v>5</v>
      </c>
      <c r="C445" t="str">
        <v>这样的照片才好看</v>
      </c>
      <c r="D445" t="str">
        <v>照</v>
      </c>
      <c r="E445" t="str">
        <v>Động từ</v>
      </c>
      <c r="F445" t="str">
        <v>zhào</v>
      </c>
      <c r="G445" t="str">
        <v>Chiếu / Chụp (ảnh)</v>
      </c>
      <c r="H445" t="str">
        <v>6. Đồ vật &amp; Công cụ</v>
      </c>
    </row>
    <row r="446">
      <c r="B446">
        <v>16</v>
      </c>
      <c r="C446" t="str">
        <v>我听说有的熊猫出国了</v>
      </c>
      <c r="D446" t="str">
        <v>照顾</v>
      </c>
      <c r="E446" t="str">
        <v>Động từ</v>
      </c>
      <c r="F446" t="str">
        <v>zhàogù</v>
      </c>
      <c r="G446" t="str">
        <v>Chăm sóc</v>
      </c>
      <c r="H446" t="str">
        <v>5. Đời sống sinh hoạt</v>
      </c>
    </row>
    <row r="447">
      <c r="B447">
        <v>1</v>
      </c>
      <c r="C447" t="str">
        <v>我们去机场接你们</v>
      </c>
      <c r="D447" t="str">
        <v>照片</v>
      </c>
      <c r="E447" t="str">
        <v>Danh từ</v>
      </c>
      <c r="F447" t="str">
        <v>zhàopiàn</v>
      </c>
      <c r="G447" t="str">
        <v>Bức ảnh</v>
      </c>
      <c r="H447" t="str">
        <v>6. Đồ vật &amp; Công cụ</v>
      </c>
    </row>
    <row r="448">
      <c r="B448">
        <v>5</v>
      </c>
      <c r="C448" t="str">
        <v>这样的照片才好看</v>
      </c>
      <c r="D448" t="str">
        <v>照相</v>
      </c>
      <c r="E448" t="str">
        <v>Động từ</v>
      </c>
      <c r="F448" t="str">
        <v>zhàoxiàng</v>
      </c>
      <c r="G448" t="str">
        <v>Chụp ảnh</v>
      </c>
      <c r="H448" t="str">
        <v>6. Đồ vật &amp; Công cụ</v>
      </c>
    </row>
    <row r="449">
      <c r="B449">
        <v>17</v>
      </c>
      <c r="C449" t="str">
        <v>我要多向认真的人学习</v>
      </c>
      <c r="D449" t="str">
        <v>真正</v>
      </c>
      <c r="E449" t="str">
        <v>Tính từ</v>
      </c>
      <c r="F449" t="str">
        <v>zhēnzhèng</v>
      </c>
      <c r="G449" t="str">
        <v>Chân chính, thực sự</v>
      </c>
      <c r="H449" t="str">
        <v>2. Cơ thể &amp; Sức khỏe</v>
      </c>
    </row>
    <row r="450">
      <c r="B450">
        <v>13</v>
      </c>
      <c r="C450" t="str">
        <v>我的邻居来自英国</v>
      </c>
      <c r="D450" t="str">
        <v>直到</v>
      </c>
      <c r="E450" t="str">
        <v>Động từ</v>
      </c>
      <c r="F450" t="str">
        <v>zhídào</v>
      </c>
      <c r="G450" t="str">
        <v>Cho đến khi</v>
      </c>
      <c r="H450" t="str">
        <v>10. Thời gian</v>
      </c>
    </row>
    <row r="451">
      <c r="B451">
        <v>2</v>
      </c>
      <c r="C451" t="str">
        <v>你们想吃什么就点什么</v>
      </c>
      <c r="D451" t="str">
        <v>只</v>
      </c>
      <c r="E451" t="str">
        <v>Phó từ</v>
      </c>
      <c r="F451" t="str">
        <v>zhǐ</v>
      </c>
      <c r="G451" t="str">
        <v>Chỉ</v>
      </c>
      <c r="H451" t="str">
        <v>15. Công cụ ngữ pháp &amp; Cấu trúc</v>
      </c>
    </row>
    <row r="452">
      <c r="B452">
        <v>11</v>
      </c>
      <c r="C452" t="str">
        <v>看来我还没办法解决这个问题</v>
      </c>
      <c r="D452" t="str">
        <v>只能</v>
      </c>
      <c r="F452" t="str">
        <v>zhǐ néng</v>
      </c>
      <c r="G452" t="str">
        <v>Chỉ có thể</v>
      </c>
      <c r="H452" t="str">
        <v>5. Đời sống sinh hoạt</v>
      </c>
    </row>
    <row r="453">
      <c r="B453">
        <v>9</v>
      </c>
      <c r="C453" t="str">
        <v>打不好没关系</v>
      </c>
      <c r="D453" t="str">
        <v>只是</v>
      </c>
      <c r="E453" t="str">
        <v>Liên từ, Phó từ</v>
      </c>
      <c r="F453" t="str">
        <v>zhǐshì</v>
      </c>
      <c r="G453" t="str">
        <v>Chỉ là</v>
      </c>
      <c r="H453" t="str">
        <v>15. Công cụ ngữ pháp &amp; Cấu trúc</v>
      </c>
    </row>
    <row r="454">
      <c r="B454">
        <v>18</v>
      </c>
      <c r="C454" t="str">
        <v>我学会了包饺子</v>
      </c>
      <c r="D454" t="str">
        <v>只要</v>
      </c>
      <c r="E454" t="str">
        <v>Liên từ</v>
      </c>
      <c r="F454" t="str">
        <v>zhǐyào</v>
      </c>
      <c r="G454" t="str">
        <v>Chỉ cần</v>
      </c>
      <c r="H454" t="str">
        <v>15. Công cụ ngữ pháp &amp; Cấu trúc</v>
      </c>
    </row>
    <row r="455">
      <c r="B455">
        <v>17</v>
      </c>
      <c r="C455" t="str">
        <v>我要多向认真的人学习</v>
      </c>
      <c r="D455" t="str">
        <v>只有</v>
      </c>
      <c r="E455" t="str">
        <v>Liên từ</v>
      </c>
      <c r="F455" t="str">
        <v>zhǐyǒu</v>
      </c>
      <c r="G455" t="str">
        <v>Chỉ có</v>
      </c>
      <c r="H455" t="str">
        <v>15. Công cụ ngữ pháp &amp; Cấu trúc</v>
      </c>
    </row>
    <row r="456">
      <c r="B456">
        <v>3</v>
      </c>
      <c r="C456" t="str">
        <v>这个小区挺好的</v>
      </c>
      <c r="D456" t="str">
        <v>纸</v>
      </c>
      <c r="E456" t="str">
        <v>Danh từ</v>
      </c>
      <c r="F456" t="str">
        <v>zhǐ</v>
      </c>
      <c r="G456" t="str">
        <v>Giấy</v>
      </c>
      <c r="H456" t="str">
        <v>6. Đồ vật &amp; Công cụ</v>
      </c>
    </row>
    <row r="457">
      <c r="B457">
        <v>1</v>
      </c>
      <c r="C457" t="str">
        <v>我们去机场接你们</v>
      </c>
      <c r="D457" t="str">
        <v>中间</v>
      </c>
      <c r="E457" t="str">
        <v>Danh từ</v>
      </c>
      <c r="F457" t="str">
        <v>zhōngjiān</v>
      </c>
      <c r="G457" t="str">
        <v>Ở giữa</v>
      </c>
      <c r="H457" t="str">
        <v>9. Không gian &amp; Vị trí</v>
      </c>
    </row>
    <row r="458">
      <c r="B458">
        <v>5</v>
      </c>
      <c r="C458" t="str">
        <v>这样的照片才好看</v>
      </c>
      <c r="D458" t="str">
        <v>终于</v>
      </c>
      <c r="E458" t="str">
        <v>Phó từ</v>
      </c>
      <c r="F458" t="str">
        <v>zhōngyú</v>
      </c>
      <c r="G458" t="str">
        <v>Cuối cùng</v>
      </c>
      <c r="H458" t="str">
        <v>15. Công cụ ngữ pháp &amp; Cấu trúc</v>
      </c>
    </row>
    <row r="459">
      <c r="B459">
        <v>8</v>
      </c>
      <c r="C459" t="str">
        <v>今天我出院了</v>
      </c>
      <c r="D459" t="str">
        <v>种</v>
      </c>
      <c r="E459" t="str">
        <v>Lượng từ</v>
      </c>
      <c r="F459" t="str">
        <v>zhǒng</v>
      </c>
      <c r="G459" t="str">
        <v>Loại, hạt</v>
      </c>
      <c r="H459" t="str">
        <v>15. Công cụ ngữ pháp &amp; Cấu trúc</v>
      </c>
    </row>
    <row r="460">
      <c r="B460">
        <v>1</v>
      </c>
      <c r="C460" t="str">
        <v>我们去机场接你们</v>
      </c>
      <c r="D460" t="str">
        <v>重要</v>
      </c>
      <c r="E460" t="str">
        <v>Tính từ</v>
      </c>
      <c r="F460" t="str">
        <v>zhòngyào</v>
      </c>
      <c r="G460" t="str">
        <v>Quan trọng</v>
      </c>
      <c r="H460" t="str">
        <v>10. Thời gian</v>
      </c>
    </row>
    <row r="461">
      <c r="B461">
        <v>16</v>
      </c>
      <c r="C461" t="str">
        <v>我听说有的熊猫出国了</v>
      </c>
      <c r="D461" t="str">
        <v>周末</v>
      </c>
      <c r="E461" t="str">
        <v>Danh từ</v>
      </c>
      <c r="F461" t="str">
        <v>zhōumò</v>
      </c>
      <c r="G461" t="str">
        <v>Cuối tuần</v>
      </c>
      <c r="H461" t="str">
        <v>10. Thời gian</v>
      </c>
    </row>
    <row r="462">
      <c r="B462">
        <v>16</v>
      </c>
      <c r="C462" t="str">
        <v>我听说有的熊猫出国了</v>
      </c>
      <c r="D462" t="str">
        <v>竹子</v>
      </c>
      <c r="E462" t="str">
        <v>Danh từ</v>
      </c>
      <c r="F462" t="str">
        <v>zhúzi</v>
      </c>
      <c r="G462" t="str">
        <v>Tre</v>
      </c>
      <c r="H462" t="str">
        <v>6. Đồ vật &amp; Công cụ</v>
      </c>
    </row>
    <row r="463">
      <c r="B463">
        <v>9</v>
      </c>
      <c r="C463" t="str">
        <v>打不好没关系</v>
      </c>
      <c r="D463" t="str">
        <v>主要</v>
      </c>
      <c r="E463" t="str">
        <v>Tính từ</v>
      </c>
      <c r="F463" t="str">
        <v>zhǔyào</v>
      </c>
      <c r="G463" t="str">
        <v>Chủ yếu</v>
      </c>
      <c r="H463" t="str">
        <v>13. Miêu tả &amp; Đánh giá</v>
      </c>
    </row>
    <row r="464">
      <c r="B464">
        <v>4</v>
      </c>
      <c r="C464" t="str">
        <v>这家宾馆跟别的都不一样</v>
      </c>
      <c r="D464" t="str">
        <v>主意</v>
      </c>
      <c r="E464" t="str">
        <v>Danh từ</v>
      </c>
      <c r="F464" t="str">
        <v>zhǔyi</v>
      </c>
      <c r="G464" t="str">
        <v>Ý kiến, chủ ý</v>
      </c>
      <c r="H464" t="str">
        <v>4. Tư duy &amp; Nhận thức</v>
      </c>
    </row>
    <row r="465">
      <c r="B465">
        <v>8</v>
      </c>
      <c r="C465" t="str">
        <v>今天我出院了</v>
      </c>
      <c r="D465" t="str">
        <v>住院</v>
      </c>
      <c r="E465" t="str">
        <v>Động từ</v>
      </c>
      <c r="F465" t="str">
        <v>zhùyuàn</v>
      </c>
      <c r="G465" t="str">
        <v>Nhập viện</v>
      </c>
      <c r="H465" t="str">
        <v>6. Đồ vật &amp; Công cụ</v>
      </c>
    </row>
    <row r="466">
      <c r="B466">
        <v>8</v>
      </c>
      <c r="C466" t="str">
        <v>今天我出院了</v>
      </c>
      <c r="D466" t="str">
        <v>注意</v>
      </c>
      <c r="E466" t="str">
        <v>Động từ</v>
      </c>
      <c r="F466" t="str">
        <v>zhùyì</v>
      </c>
      <c r="G466" t="str">
        <v>Chú ý</v>
      </c>
      <c r="H466" t="str">
        <v>1. Con người &amp; Các mối quan hệ</v>
      </c>
    </row>
    <row r="467">
      <c r="B467">
        <v>7</v>
      </c>
      <c r="C467" t="str">
        <v>那条裙子比短裤更好看</v>
      </c>
      <c r="D467" t="str">
        <v>自行车</v>
      </c>
      <c r="E467" t="str">
        <v>Danh từ</v>
      </c>
      <c r="F467" t="str">
        <v>zìxíngchē</v>
      </c>
      <c r="G467" t="str">
        <v>Xe đạp</v>
      </c>
      <c r="H467" t="str">
        <v>8. Giao thông &amp; Di chuyển</v>
      </c>
    </row>
    <row r="468">
      <c r="B468">
        <v>18</v>
      </c>
      <c r="C468" t="str">
        <v>我学会了包饺子</v>
      </c>
      <c r="D468" t="str">
        <v>总</v>
      </c>
      <c r="E468" t="str">
        <v>Phó từ</v>
      </c>
      <c r="F468" t="str">
        <v>zǒng</v>
      </c>
      <c r="G468" t="str">
        <v>Luôn / Tổng cộng</v>
      </c>
      <c r="H468" t="str">
        <v>15. Công cụ ngữ pháp &amp; Cấu trúc</v>
      </c>
    </row>
    <row r="469">
      <c r="B469">
        <v>5</v>
      </c>
      <c r="C469" t="str">
        <v>这样的照片才好看</v>
      </c>
      <c r="D469" t="str">
        <v>总是</v>
      </c>
      <c r="E469" t="str">
        <v>Phó từ</v>
      </c>
      <c r="F469" t="str">
        <v>zǒngshì</v>
      </c>
      <c r="G469" t="str">
        <v>Luôn luôn</v>
      </c>
      <c r="H469" t="str">
        <v>15. Công cụ ngữ pháp &amp; Cấu trúc</v>
      </c>
    </row>
    <row r="470">
      <c r="B470">
        <v>16</v>
      </c>
      <c r="C470" t="str">
        <v>我听说有的熊猫出国了</v>
      </c>
      <c r="D470" t="str">
        <v>嘴</v>
      </c>
      <c r="E470" t="str">
        <v>Danh từ</v>
      </c>
      <c r="F470" t="str">
        <v>zuǐ</v>
      </c>
      <c r="G470" t="str">
        <v>Miệng</v>
      </c>
      <c r="H470" t="str">
        <v>2. Cơ thể &amp; Sức khỏe</v>
      </c>
    </row>
    <row r="471">
      <c r="B471">
        <v>14</v>
      </c>
      <c r="C471" t="str">
        <v>这本书被别人借走了</v>
      </c>
      <c r="D471" t="str">
        <v>最好</v>
      </c>
      <c r="E471" t="str">
        <v>Phó từ</v>
      </c>
      <c r="F471" t="str">
        <v>zuìhǎo</v>
      </c>
      <c r="G471" t="str">
        <v>Tốt nhất</v>
      </c>
      <c r="H471" t="str">
        <v>15. Công cụ ngữ pháp &amp; Cấu trúc</v>
      </c>
    </row>
    <row r="472">
      <c r="B472">
        <v>14</v>
      </c>
      <c r="C472" t="str">
        <v>这本书被别人借走了</v>
      </c>
      <c r="D472" t="str">
        <v>最后</v>
      </c>
      <c r="E472" t="str">
        <v>Danh từ</v>
      </c>
      <c r="F472" t="str">
        <v>zuìhòu</v>
      </c>
      <c r="G472" t="str">
        <v>Cuối cùng</v>
      </c>
      <c r="H472" t="str">
        <v>15. Công cụ ngữ pháp &amp; Cấu trúc</v>
      </c>
    </row>
    <row r="473">
      <c r="B473">
        <v>8</v>
      </c>
      <c r="C473" t="str">
        <v>今天我出院了</v>
      </c>
      <c r="D473" t="str">
        <v>最近</v>
      </c>
      <c r="E473" t="str">
        <v>Danh từ</v>
      </c>
      <c r="F473" t="str">
        <v>zuìjìn</v>
      </c>
      <c r="G473" t="str">
        <v>Gần đây</v>
      </c>
      <c r="H473" t="str">
        <v>15. Công cụ ngữ pháp &amp; Cấu trúc</v>
      </c>
    </row>
    <row r="474">
      <c r="B474">
        <v>10</v>
      </c>
      <c r="C474" t="str">
        <v>你明天再把书还给我</v>
      </c>
      <c r="D474" t="str">
        <v>作业</v>
      </c>
      <c r="E474" t="str">
        <v>Danh từ</v>
      </c>
      <c r="F474" t="str">
        <v>zuòyè</v>
      </c>
      <c r="G474" t="str">
        <v>Bài tập</v>
      </c>
      <c r="H474" t="str">
        <v>1. Con người &amp; Các mối quan hệ</v>
      </c>
    </row>
    <row r="475">
      <c r="B475">
        <v>13</v>
      </c>
      <c r="C475" t="str">
        <v>我的邻居来自英国</v>
      </c>
      <c r="D475" t="str">
        <v>做法</v>
      </c>
      <c r="E475" t="str">
        <v>Danh từ</v>
      </c>
      <c r="F475" t="str">
        <v>zuòfǎ</v>
      </c>
      <c r="G475" t="str">
        <v>Cách làm</v>
      </c>
      <c r="H475" t="str">
        <v>5. Đời sống sinh hoạt</v>
      </c>
    </row>
    <row r="476">
      <c r="B476">
        <v>13</v>
      </c>
      <c r="C476" t="str">
        <v>我的邻居来自英国</v>
      </c>
      <c r="D476" t="str">
        <v>做客</v>
      </c>
      <c r="E476" t="str">
        <v>Động từ</v>
      </c>
      <c r="F476" t="str">
        <v>zuòkè</v>
      </c>
      <c r="G476" t="str">
        <v>Làm khách</v>
      </c>
      <c r="H476" t="str">
        <v>1. Con người &amp; Các mối quan hệ</v>
      </c>
    </row>
  </sheetData>
  <autoFilter ref="A1:I476"/>
  <mergeCells count="2">
    <mergeCell ref="K1:L1"/>
    <mergeCell ref="K2:K4"/>
  </mergeCells>
  <pageMargins left="0.7" right="0.7" top="0.75" bottom="0.75" header="0.3" footer="0.3"/>
  <ignoredErrors>
    <ignoredError numberStoredAsText="1" sqref="A1:AA10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0"/>
  <sheetViews>
    <sheetView workbookViewId="0" rightToLeft="0"/>
  </sheetViews>
  <sheetData>
    <row r="1">
      <c r="A1" t="str">
        <v>STT</v>
      </c>
      <c r="B1" t="str">
        <v>Từ vựng</v>
      </c>
      <c r="C1" t="str">
        <v xml:space="preserve">Từ loại </v>
      </c>
      <c r="D1" t="str">
        <v>Phiên âm</v>
      </c>
      <c r="E1" t="str">
        <v>Nghĩa</v>
      </c>
      <c r="F1" t="str">
        <v>Chủ đề</v>
      </c>
      <c r="G1" t="str">
        <v>Ví dụ</v>
      </c>
      <c r="I1" t="str">
        <v>Ghi chú</v>
      </c>
    </row>
    <row r="2">
      <c r="A2">
        <v>1</v>
      </c>
      <c r="B2" t="str">
        <v>啊</v>
      </c>
      <c r="D2" t="str">
        <v>a</v>
      </c>
      <c r="E2" t="str">
        <f>IFERROR(__xludf.DUMMYFUNCTION("GOOGLETRANSLATE(B2,""zh"",""vi"")"),"à")</f>
        <v>à</v>
      </c>
      <c r="F2" t="str">
        <v>3. Cảm xúc &amp; Thái độ</v>
      </c>
      <c r="I2" t="str">
        <v>Chủ đề</v>
      </c>
    </row>
    <row r="3">
      <c r="A3">
        <v>2</v>
      </c>
      <c r="B3" t="str">
        <v>爱情</v>
      </c>
      <c r="D3" t="str">
        <v>àiqíng</v>
      </c>
      <c r="E3" t="str">
        <f>IFERROR(__xludf.DUMMYFUNCTION("GOOGLETRANSLATE(B3,""zh"",""vi"")"),"yêu")</f>
        <v>yêu</v>
      </c>
      <c r="F3" t="str">
        <v>3. Cảm xúc &amp; Thái độ</v>
      </c>
    </row>
    <row r="4">
      <c r="A4">
        <v>3</v>
      </c>
      <c r="B4" t="str">
        <v>爱心</v>
      </c>
      <c r="D4" t="str">
        <v>àixīn</v>
      </c>
      <c r="E4" t="str">
        <f>IFERROR(__xludf.DUMMYFUNCTION("GOOGLETRANSLATE(B4,""zh"",""vi"")"),"Yêu")</f>
        <v>Yêu</v>
      </c>
      <c r="F4" t="str">
        <v>3. Cảm xúc &amp; Thái độ</v>
      </c>
    </row>
    <row r="5">
      <c r="A5">
        <v>4</v>
      </c>
      <c r="B5" t="str">
        <v>按</v>
      </c>
      <c r="D5" t="str">
        <v>àn</v>
      </c>
      <c r="E5" t="str">
        <f>IFERROR(__xludf.DUMMYFUNCTION("GOOGLETRANSLATE(B5,""zh"",""vi"")"),"theo")</f>
        <v>theo</v>
      </c>
      <c r="F5" t="str">
        <v>5. Đời sống sinh hoạt</v>
      </c>
    </row>
    <row r="6">
      <c r="A6">
        <v>5</v>
      </c>
      <c r="B6" t="str">
        <v>安检</v>
      </c>
      <c r="D6" t="str">
        <v>ānjiǎn</v>
      </c>
      <c r="E6" t="str">
        <f>IFERROR(__xludf.DUMMYFUNCTION("GOOGLETRANSLATE(B6,""zh"",""vi"")"),"Kiểm tra an ninh")</f>
        <v>Kiểm tra an ninh</v>
      </c>
      <c r="F6" t="str">
        <v>4. Tư duy &amp; Nhận thức</v>
      </c>
    </row>
    <row r="7">
      <c r="A7">
        <v>6</v>
      </c>
      <c r="B7" t="str">
        <v>安排</v>
      </c>
      <c r="D7" t="str">
        <v>ānpái</v>
      </c>
      <c r="E7" t="str">
        <f>IFERROR(__xludf.DUMMYFUNCTION("GOOGLETRANSLATE(B7,""zh"",""vi"")"),"sắp xếp")</f>
        <v>sắp xếp</v>
      </c>
      <c r="F7" t="str">
        <v>5. Đời sống sinh hoạt</v>
      </c>
    </row>
    <row r="8">
      <c r="A8">
        <v>7</v>
      </c>
      <c r="B8" t="str">
        <v>按时</v>
      </c>
      <c r="D8" t="str">
        <v>ànshí</v>
      </c>
      <c r="E8" t="str">
        <f>IFERROR(__xludf.DUMMYFUNCTION("GOOGLETRANSLATE(B8,""zh"",""vi"")"),"đúng giờ")</f>
        <v>đúng giờ</v>
      </c>
      <c r="F8" t="str">
        <v>10. Thời gian</v>
      </c>
    </row>
    <row r="9">
      <c r="A9">
        <v>8</v>
      </c>
      <c r="B9" t="str">
        <v>按照</v>
      </c>
      <c r="D9" t="str">
        <v>ànzhào</v>
      </c>
      <c r="E9" t="str">
        <f>IFERROR(__xludf.DUMMYFUNCTION("GOOGLETRANSLATE(B9,""zh"",""vi"")"),"theo")</f>
        <v>theo</v>
      </c>
      <c r="F9" t="str">
        <v>5. Đời sống sinh hoạt</v>
      </c>
    </row>
    <row r="10">
      <c r="A10">
        <v>9</v>
      </c>
      <c r="B10" t="str">
        <v>白酒</v>
      </c>
      <c r="D10" t="str">
        <v>báijiǔ</v>
      </c>
      <c r="E10" t="str">
        <f>IFERROR(__xludf.DUMMYFUNCTION("GOOGLETRANSLATE(B10,""zh"",""vi"")"),"Rượu")</f>
        <v>Rượu</v>
      </c>
      <c r="F10" t="str">
        <v>5. Đời sống sinh hoạt</v>
      </c>
    </row>
    <row r="11">
      <c r="A11">
        <v>10</v>
      </c>
      <c r="B11" t="str">
        <v>棒</v>
      </c>
      <c r="D11" t="str">
        <v>bàng</v>
      </c>
      <c r="E11" t="str">
        <f>IFERROR(__xludf.DUMMYFUNCTION("GOOGLETRANSLATE(B11,""zh"",""vi"")"),"Tuyệt")</f>
        <v>Tuyệt</v>
      </c>
      <c r="F11" t="str">
        <v>5. Đời sống sinh hoạt</v>
      </c>
    </row>
    <row r="12">
      <c r="A12">
        <v>11</v>
      </c>
      <c r="B12" t="str">
        <v>办公</v>
      </c>
      <c r="D12" t="str">
        <v>bàngōng</v>
      </c>
      <c r="E12" t="str">
        <f>IFERROR(__xludf.DUMMYFUNCTION("GOOGLETRANSLATE(B12,""zh"",""vi"")"),"Văn phòng")</f>
        <v>Văn phòng</v>
      </c>
      <c r="F12" t="str">
        <v>5. Đời sống sinh hoạt</v>
      </c>
    </row>
    <row r="13">
      <c r="A13">
        <v>12</v>
      </c>
      <c r="B13" t="str">
        <v>办理</v>
      </c>
      <c r="D13" t="str">
        <v>bànlǐ</v>
      </c>
      <c r="E13" t="str">
        <f>IFERROR(__xludf.DUMMYFUNCTION("GOOGLETRANSLATE(B13,""zh"",""vi"")"),"Xử lý")</f>
        <v>Xử lý</v>
      </c>
      <c r="F13" t="str">
        <v>5. Đời sống sinh hoạt</v>
      </c>
    </row>
    <row r="14">
      <c r="A14">
        <v>13</v>
      </c>
      <c r="B14" t="str">
        <v>办事</v>
      </c>
      <c r="D14" t="str">
        <v>bànshì</v>
      </c>
      <c r="E14" t="str">
        <f>IFERROR(__xludf.DUMMYFUNCTION("GOOGLETRANSLATE(B14,""zh"",""vi"")"),"công việc")</f>
        <v>công việc</v>
      </c>
      <c r="F14" t="str">
        <v>1. Con người &amp; Các mối quan hệ</v>
      </c>
    </row>
    <row r="15">
      <c r="A15">
        <v>14</v>
      </c>
      <c r="B15" t="str">
        <v>抱</v>
      </c>
      <c r="D15" t="str">
        <v>bào</v>
      </c>
      <c r="E15" t="str">
        <f>IFERROR(__xludf.DUMMYFUNCTION("GOOGLETRANSLATE(B15,""zh"",""vi"")"),"ôm")</f>
        <v>ôm</v>
      </c>
      <c r="F15" t="str">
        <v>5. Đời sống sinh hoạt</v>
      </c>
    </row>
    <row r="16">
      <c r="A16">
        <v>15</v>
      </c>
      <c r="B16" t="str">
        <v>保护</v>
      </c>
      <c r="D16" t="str">
        <v>bǎohù</v>
      </c>
      <c r="E16" t="str">
        <f>IFERROR(__xludf.DUMMYFUNCTION("GOOGLETRANSLATE(B16,""zh"",""vi"")"),"Bảo vệ")</f>
        <v>Bảo vệ</v>
      </c>
      <c r="F16" t="str">
        <v>5. Đời sống sinh hoạt</v>
      </c>
    </row>
    <row r="17">
      <c r="A17">
        <v>16</v>
      </c>
      <c r="B17" t="str">
        <v>报考</v>
      </c>
      <c r="D17" t="str">
        <v>bàokǎo</v>
      </c>
      <c r="E17" t="str">
        <f>IFERROR(__xludf.DUMMYFUNCTION("GOOGLETRANSLATE(B17,""zh"",""vi"")"),"Ứng dụng")</f>
        <v>Ứng dụng</v>
      </c>
      <c r="F17" t="str">
        <v>5. Đời sống sinh hoạt</v>
      </c>
    </row>
    <row r="18">
      <c r="A18">
        <v>17</v>
      </c>
      <c r="B18" t="str">
        <v>报名</v>
      </c>
      <c r="D18" t="str">
        <v>bàomíng</v>
      </c>
      <c r="E18" t="str">
        <f>IFERROR(__xludf.DUMMYFUNCTION("GOOGLETRANSLATE(B18,""zh"",""vi"")"),"Đăng ký")</f>
        <v>Đăng ký</v>
      </c>
      <c r="F18" t="str">
        <v>5. Đời sống sinh hoạt</v>
      </c>
    </row>
    <row r="19">
      <c r="A19">
        <v>18</v>
      </c>
      <c r="B19" t="str">
        <v>抱歉</v>
      </c>
      <c r="D19" t="str">
        <v>bàoqiàn</v>
      </c>
      <c r="E19" t="str">
        <f>IFERROR(__xludf.DUMMYFUNCTION("GOOGLETRANSLATE(B19,""zh"",""vi"")"),"Tôi thấy tiếc")</f>
        <v>Tôi thấy tiếc</v>
      </c>
      <c r="F19" t="str">
        <v>5. Đời sống sinh hoạt</v>
      </c>
    </row>
    <row r="20">
      <c r="A20">
        <v>19</v>
      </c>
      <c r="B20" t="str">
        <v>保证</v>
      </c>
      <c r="D20" t="str">
        <v>bǎozhèng</v>
      </c>
      <c r="E20" t="str">
        <f>IFERROR(__xludf.DUMMYFUNCTION("GOOGLETRANSLATE(B20,""zh"",""vi"")"),"đảm bảo")</f>
        <v>đảm bảo</v>
      </c>
      <c r="F20" t="str">
        <v>5. Đời sống sinh hoạt</v>
      </c>
    </row>
    <row r="21">
      <c r="A21">
        <v>20</v>
      </c>
      <c r="B21" t="str">
        <v>倍</v>
      </c>
      <c r="D21" t="str">
        <v>bèi</v>
      </c>
      <c r="E21" t="str">
        <f>IFERROR(__xludf.DUMMYFUNCTION("GOOGLETRANSLATE(B21,""zh"",""vi"")"),"lần")</f>
        <v>lần</v>
      </c>
      <c r="F21" t="str">
        <v>5. Đời sống sinh hoạt</v>
      </c>
    </row>
    <row r="22">
      <c r="A22">
        <v>21</v>
      </c>
      <c r="B22" t="str">
        <v>背</v>
      </c>
      <c r="D22" t="str">
        <v>bēi</v>
      </c>
      <c r="E22" t="str">
        <f>IFERROR(__xludf.DUMMYFUNCTION("GOOGLETRANSLATE(B22,""zh"",""vi"")"),"mặt sau")</f>
        <v>mặt sau</v>
      </c>
      <c r="F22" t="str">
        <v>9. Không gian &amp; Vị trí</v>
      </c>
    </row>
    <row r="23">
      <c r="A23">
        <v>22</v>
      </c>
      <c r="B23" t="str">
        <v>背包</v>
      </c>
      <c r="D23" t="str">
        <v>bēibāo</v>
      </c>
      <c r="E23" t="str">
        <f>IFERROR(__xludf.DUMMYFUNCTION("GOOGLETRANSLATE(B23,""zh"",""vi"")"),"Balo")</f>
        <v>Balo</v>
      </c>
      <c r="F23" t="str">
        <v>14. Số lượng &amp; Đo lường</v>
      </c>
    </row>
    <row r="24">
      <c r="A24">
        <v>23</v>
      </c>
      <c r="B24" t="str">
        <v>北部</v>
      </c>
      <c r="D24" t="str">
        <v>běibù</v>
      </c>
      <c r="E24" t="str">
        <f>IFERROR(__xludf.DUMMYFUNCTION("GOOGLETRANSLATE(B24,""zh"",""vi"")"),"Phía bắc")</f>
        <v>Phía bắc</v>
      </c>
      <c r="F24" t="str">
        <v>5. Đời sống sinh hoạt</v>
      </c>
    </row>
    <row r="25">
      <c r="A25">
        <v>24</v>
      </c>
      <c r="B25" t="str">
        <v>笨</v>
      </c>
      <c r="D25" t="str">
        <v>bèn</v>
      </c>
      <c r="E25" t="str">
        <f>IFERROR(__xludf.DUMMYFUNCTION("GOOGLETRANSLATE(B25,""zh"",""vi"")"),"ngu xuẩn")</f>
        <v>ngu xuẩn</v>
      </c>
      <c r="F25" t="str">
        <v>5. Đời sống sinh hoạt</v>
      </c>
    </row>
    <row r="26">
      <c r="A26">
        <v>25</v>
      </c>
      <c r="B26" t="str">
        <v>本科</v>
      </c>
      <c r="D26" t="str">
        <v>běnkē</v>
      </c>
      <c r="E26" t="str">
        <f>IFERROR(__xludf.DUMMYFUNCTION("GOOGLETRANSLATE(B26,""zh"",""vi"")"),"Đại học")</f>
        <v>Đại học</v>
      </c>
      <c r="F26" t="str">
        <v>1. Con người &amp; Các mối quan hệ</v>
      </c>
    </row>
    <row r="27">
      <c r="A27">
        <v>26</v>
      </c>
      <c r="B27" t="str">
        <v>本来</v>
      </c>
      <c r="D27" t="str">
        <v>běnlái</v>
      </c>
      <c r="E27" t="str">
        <f>IFERROR(__xludf.DUMMYFUNCTION("GOOGLETRANSLATE(B27,""zh"",""vi"")"),"ban đầu")</f>
        <v>ban đầu</v>
      </c>
      <c r="F27" t="str">
        <v>2. Cơ thể &amp; Sức khỏe</v>
      </c>
    </row>
    <row r="28">
      <c r="A28">
        <v>27</v>
      </c>
      <c r="B28" t="str">
        <v>便于</v>
      </c>
      <c r="D28" t="str">
        <v>biànyú</v>
      </c>
      <c r="E28" t="str">
        <f>IFERROR(__xludf.DUMMYFUNCTION("GOOGLETRANSLATE(B28,""zh"",""vi"")"),"dễ dàng")</f>
        <v>dễ dàng</v>
      </c>
      <c r="F28" t="str">
        <v>13. Miêu tả &amp; Đánh giá</v>
      </c>
    </row>
    <row r="29">
      <c r="A29">
        <v>28</v>
      </c>
      <c r="B29" t="str">
        <v>表</v>
      </c>
      <c r="D29" t="str">
        <v>biǎo</v>
      </c>
      <c r="E29" t="str">
        <f>IFERROR(__xludf.DUMMYFUNCTION("GOOGLETRANSLATE(B29,""zh"",""vi"")"),"bề mặt")</f>
        <v>bề mặt</v>
      </c>
      <c r="F29" t="str">
        <v>5. Đời sống sinh hoạt</v>
      </c>
    </row>
    <row r="30">
      <c r="A30">
        <v>29</v>
      </c>
      <c r="B30" t="str">
        <v>表格</v>
      </c>
      <c r="D30" t="str">
        <v>biǎogé</v>
      </c>
      <c r="E30" t="str">
        <f>IFERROR(__xludf.DUMMYFUNCTION("GOOGLETRANSLATE(B30,""zh"",""vi"")"),"tờ giấy")</f>
        <v>tờ giấy</v>
      </c>
      <c r="F30" t="str">
        <v>5. Đời sống sinh hoạt</v>
      </c>
    </row>
    <row r="31">
      <c r="A31">
        <v>30</v>
      </c>
      <c r="B31" t="str">
        <v>表示</v>
      </c>
      <c r="D31" t="str">
        <v>biǎoshì</v>
      </c>
      <c r="E31" t="str">
        <f>IFERROR(__xludf.DUMMYFUNCTION("GOOGLETRANSLATE(B31,""zh"",""vi"")"),"thể hiện")</f>
        <v>thể hiện</v>
      </c>
      <c r="F31" t="str">
        <v>5. Đời sống sinh hoạt</v>
      </c>
    </row>
    <row r="32">
      <c r="A32">
        <v>31</v>
      </c>
      <c r="B32" t="str">
        <v>表现</v>
      </c>
      <c r="D32" t="str">
        <v>biǎoxiàn</v>
      </c>
      <c r="E32" t="str">
        <f>IFERROR(__xludf.DUMMYFUNCTION("GOOGLETRANSLATE(B32,""zh"",""vi"")"),"Hiệu suất")</f>
        <v>Hiệu suất</v>
      </c>
      <c r="F32" t="str">
        <v>5. Đời sống sinh hoạt</v>
      </c>
    </row>
    <row r="33">
      <c r="A33">
        <v>32</v>
      </c>
      <c r="B33" t="str">
        <v>表扬</v>
      </c>
      <c r="D33" t="str">
        <v>biǎoyáng</v>
      </c>
      <c r="E33" t="str">
        <f>IFERROR(__xludf.DUMMYFUNCTION("GOOGLETRANSLATE(B33,""zh"",""vi"")"),"khen")</f>
        <v>khen</v>
      </c>
      <c r="F33" t="str">
        <v>5. Đời sống sinh hoạt</v>
      </c>
    </row>
    <row r="34">
      <c r="A34">
        <v>33</v>
      </c>
      <c r="B34" t="str">
        <v>标准</v>
      </c>
      <c r="D34" t="str">
        <v>biāozhǔn</v>
      </c>
      <c r="E34" t="str">
        <f>IFERROR(__xludf.DUMMYFUNCTION("GOOGLETRANSLATE(B34,""zh"",""vi"")"),"tiêu chuẩn")</f>
        <v>tiêu chuẩn</v>
      </c>
      <c r="F34" t="str">
        <v>5. Đời sống sinh hoạt</v>
      </c>
    </row>
    <row r="35">
      <c r="A35">
        <v>34</v>
      </c>
      <c r="B35" t="str">
        <v>并</v>
      </c>
      <c r="D35" t="str">
        <v>bìng</v>
      </c>
      <c r="E35" t="str">
        <f>IFERROR(__xludf.DUMMYFUNCTION("GOOGLETRANSLATE(B35,""zh"",""vi"")"),"Và")</f>
        <v>Và</v>
      </c>
      <c r="F35" t="str">
        <v>5. Đời sống sinh hoạt</v>
      </c>
    </row>
    <row r="36">
      <c r="A36">
        <v>35</v>
      </c>
      <c r="B36" t="str">
        <v>饼干</v>
      </c>
      <c r="D36" t="str">
        <v>bǐnggān</v>
      </c>
      <c r="E36" t="str">
        <f>IFERROR(__xludf.DUMMYFUNCTION("GOOGLETRANSLATE(B36,""zh"",""vi"")"),"bánh quy")</f>
        <v>bánh quy</v>
      </c>
      <c r="F36" t="str">
        <v>5. Đời sống sinh hoạt</v>
      </c>
    </row>
    <row r="37">
      <c r="A37">
        <v>36</v>
      </c>
      <c r="B37" t="str">
        <v>并且</v>
      </c>
      <c r="D37" t="str">
        <v>bìngqiě</v>
      </c>
      <c r="E37" t="str">
        <f>IFERROR(__xludf.DUMMYFUNCTION("GOOGLETRANSLATE(B37,""zh"",""vi"")"),"Và")</f>
        <v>Và</v>
      </c>
      <c r="F37" t="str">
        <v>5. Đời sống sinh hoạt</v>
      </c>
    </row>
    <row r="38">
      <c r="A38">
        <v>37</v>
      </c>
      <c r="B38" t="str">
        <v>笔试</v>
      </c>
      <c r="D38" t="str">
        <v>bǐshì</v>
      </c>
      <c r="E38" t="str">
        <f>IFERROR(__xludf.DUMMYFUNCTION("GOOGLETRANSLATE(B38,""zh"",""vi"")"),"kỳ thi viết")</f>
        <v>kỳ thi viết</v>
      </c>
      <c r="F38" t="str">
        <v>6. Đồ vật &amp; Công cụ</v>
      </c>
    </row>
    <row r="39">
      <c r="A39">
        <v>38</v>
      </c>
      <c r="B39" t="str">
        <v>毕业</v>
      </c>
      <c r="D39" t="str">
        <v>bìyè</v>
      </c>
      <c r="E39" t="str">
        <f>IFERROR(__xludf.DUMMYFUNCTION("GOOGLETRANSLATE(B39,""zh"",""vi"")"),"tốt nghiệp")</f>
        <v>tốt nghiệp</v>
      </c>
      <c r="F39" t="str">
        <v>12. Công việc &amp; Nghề nghiệp</v>
      </c>
    </row>
    <row r="40">
      <c r="A40">
        <v>39</v>
      </c>
      <c r="B40" t="str">
        <v>毕业生</v>
      </c>
      <c r="D40" t="str">
        <v>bìyèshēng</v>
      </c>
      <c r="E40" t="str">
        <f>IFERROR(__xludf.DUMMYFUNCTION("GOOGLETRANSLATE(B40,""zh"",""vi"")"),"tốt nghiệp")</f>
        <v>tốt nghiệp</v>
      </c>
      <c r="F40" t="str">
        <v>12. Công việc &amp; Nghề nghiệp</v>
      </c>
    </row>
    <row r="41">
      <c r="A41">
        <v>40</v>
      </c>
      <c r="B41" t="str">
        <v>鼻子</v>
      </c>
      <c r="D41" t="str">
        <v>bízi</v>
      </c>
      <c r="E41" t="str">
        <f>IFERROR(__xludf.DUMMYFUNCTION("GOOGLETRANSLATE(B41,""zh"",""vi"")"),"mũi")</f>
        <v>mũi</v>
      </c>
      <c r="F41" t="str">
        <v>2. Cơ thể &amp; Sức khỏe</v>
      </c>
    </row>
    <row r="42">
      <c r="A42">
        <v>41</v>
      </c>
      <c r="B42" t="str">
        <v>播放</v>
      </c>
      <c r="D42" t="str">
        <v>bōfàng</v>
      </c>
      <c r="E42" t="str">
        <f>IFERROR(__xludf.DUMMYFUNCTION("GOOGLETRANSLATE(B42,""zh"",""vi"")"),"Chơi")</f>
        <v>Chơi</v>
      </c>
      <c r="F42" t="str">
        <v>5. Đời sống sinh hoạt</v>
      </c>
    </row>
    <row r="43">
      <c r="A43">
        <v>42</v>
      </c>
      <c r="B43" t="str">
        <v>博士</v>
      </c>
      <c r="D43" t="str">
        <v>bóshì</v>
      </c>
      <c r="E43" t="str">
        <f>IFERROR(__xludf.DUMMYFUNCTION("GOOGLETRANSLATE(B43,""zh"",""vi"")"),"Tiến sĩ")</f>
        <v>Tiến sĩ</v>
      </c>
      <c r="F43" t="str">
        <v>5. Đời sống sinh hoạt</v>
      </c>
    </row>
    <row r="44">
      <c r="A44">
        <v>43</v>
      </c>
      <c r="B44" t="str">
        <v>步</v>
      </c>
      <c r="D44" t="str">
        <v>bù</v>
      </c>
      <c r="E44" t="str">
        <f>IFERROR(__xludf.DUMMYFUNCTION("GOOGLETRANSLATE(B44,""zh"",""vi"")"),"bước chân")</f>
        <v>bước chân</v>
      </c>
      <c r="F44" t="str">
        <v>2. Cơ thể &amp; Sức khỏe</v>
      </c>
    </row>
    <row r="45">
      <c r="A45">
        <v>44</v>
      </c>
      <c r="B45" t="str">
        <v>部</v>
      </c>
      <c r="D45" t="str">
        <v>bù</v>
      </c>
      <c r="E45" t="str">
        <f>IFERROR(__xludf.DUMMYFUNCTION("GOOGLETRANSLATE(B45,""zh"",""vi"")"),"phòng")</f>
        <v>phòng</v>
      </c>
      <c r="F45" t="str">
        <v>7. Địa điểm &amp; Nơi chốn</v>
      </c>
    </row>
    <row r="46">
      <c r="A46">
        <v>45</v>
      </c>
      <c r="B46" t="str">
        <v>不必</v>
      </c>
      <c r="D46" t="str">
        <v>búbì</v>
      </c>
      <c r="E46" t="str">
        <f>IFERROR(__xludf.DUMMYFUNCTION("GOOGLETRANSLATE(B46,""zh"",""vi"")"),"Không cần")</f>
        <v>Không cần</v>
      </c>
      <c r="F46" t="str">
        <v>1. Con người &amp; Các mối quan hệ</v>
      </c>
    </row>
    <row r="47">
      <c r="A47">
        <v>46</v>
      </c>
      <c r="B47" t="str">
        <v>不便</v>
      </c>
      <c r="D47" t="str">
        <v>búbiàn</v>
      </c>
      <c r="E47" t="str">
        <f>IFERROR(__xludf.DUMMYFUNCTION("GOOGLETRANSLATE(B47,""zh"",""vi"")"),"bất tiện")</f>
        <v>bất tiện</v>
      </c>
      <c r="F47" t="str">
        <v>5. Đời sống sinh hoạt</v>
      </c>
    </row>
    <row r="48">
      <c r="A48">
        <v>47</v>
      </c>
      <c r="B48" t="str">
        <v>不得不</v>
      </c>
      <c r="D48" t="str">
        <v>bùdébù</v>
      </c>
      <c r="E48" t="str">
        <f>IFERROR(__xludf.DUMMYFUNCTION("GOOGLETRANSLATE(B48,""zh"",""vi"")"),"phải")</f>
        <v>phải</v>
      </c>
      <c r="F48" t="str">
        <v>9. Không gian &amp; Vị trí</v>
      </c>
    </row>
    <row r="49">
      <c r="A49">
        <v>48</v>
      </c>
      <c r="B49" t="str">
        <v>不断</v>
      </c>
      <c r="D49" t="str">
        <v>búduàn</v>
      </c>
      <c r="E49" t="str">
        <f>IFERROR(__xludf.DUMMYFUNCTION("GOOGLETRANSLATE(B49,""zh"",""vi"")"),"Liên tục")</f>
        <v>Liên tục</v>
      </c>
      <c r="F49" t="str">
        <v>5. Đời sống sinh hoạt</v>
      </c>
    </row>
    <row r="50">
      <c r="A50">
        <v>49</v>
      </c>
      <c r="B50" t="str">
        <v>部分</v>
      </c>
      <c r="D50" t="str">
        <v>bùfen</v>
      </c>
      <c r="E50" t="str">
        <f>IFERROR(__xludf.DUMMYFUNCTION("GOOGLETRANSLATE(B50,""zh"",""vi"")"),"phần")</f>
        <v>phần</v>
      </c>
      <c r="F50" t="str">
        <v>5. Đời sống sinh hoạt</v>
      </c>
    </row>
    <row r="51">
      <c r="A51">
        <v>50</v>
      </c>
      <c r="B51" t="str">
        <v>不够</v>
      </c>
      <c r="D51" t="str">
        <v>búgòu</v>
      </c>
      <c r="E51" t="str">
        <f>IFERROR(__xludf.DUMMYFUNCTION("GOOGLETRANSLATE(B51,""zh"",""vi"")"),"không đủ")</f>
        <v>không đủ</v>
      </c>
      <c r="F51" t="str">
        <v>1. Con người &amp; Các mối quan hệ</v>
      </c>
    </row>
    <row r="52">
      <c r="A52">
        <v>51</v>
      </c>
      <c r="B52" t="str">
        <v>不管</v>
      </c>
      <c r="D52" t="str">
        <v>bùguǎn</v>
      </c>
      <c r="E52" t="str">
        <f>IFERROR(__xludf.DUMMYFUNCTION("GOOGLETRANSLATE(B52,""zh"",""vi"")"),"mặc dù")</f>
        <v>mặc dù</v>
      </c>
      <c r="F52" t="str">
        <v>5. Đời sống sinh hoạt</v>
      </c>
    </row>
    <row r="53">
      <c r="A53">
        <v>52</v>
      </c>
      <c r="B53" t="str">
        <v>不光</v>
      </c>
      <c r="D53" t="str">
        <v>bùguāng</v>
      </c>
      <c r="E53" t="str">
        <f>IFERROR(__xludf.DUMMYFUNCTION("GOOGLETRANSLATE(B53,""zh"",""vi"")"),"không chỉ")</f>
        <v>không chỉ</v>
      </c>
      <c r="F53" t="str">
        <v>1. Con người &amp; Các mối quan hệ</v>
      </c>
    </row>
    <row r="54">
      <c r="A54">
        <v>53</v>
      </c>
      <c r="B54" t="str">
        <v>不过</v>
      </c>
      <c r="D54" t="str">
        <v>búguò</v>
      </c>
      <c r="E54" t="str">
        <f>IFERROR(__xludf.DUMMYFUNCTION("GOOGLETRANSLATE(B54,""zh"",""vi"")"),"Nhưng")</f>
        <v>Nhưng</v>
      </c>
      <c r="F54" t="str">
        <v>5. Đời sống sinh hoạt</v>
      </c>
    </row>
    <row r="55">
      <c r="A55">
        <v>54</v>
      </c>
      <c r="B55" t="str">
        <v>不仅</v>
      </c>
      <c r="D55" t="str">
        <v>bùjǐn</v>
      </c>
      <c r="E55" t="str">
        <f>IFERROR(__xludf.DUMMYFUNCTION("GOOGLETRANSLATE(B55,""zh"",""vi"")"),"không chỉ")</f>
        <v>không chỉ</v>
      </c>
      <c r="F55" t="str">
        <v>1. Con người &amp; Các mối quan hệ</v>
      </c>
    </row>
    <row r="56">
      <c r="A56">
        <v>55</v>
      </c>
      <c r="B56" t="str">
        <v>不论</v>
      </c>
      <c r="D56" t="str">
        <v>búlùn</v>
      </c>
      <c r="E56" t="str">
        <f>IFERROR(__xludf.DUMMYFUNCTION("GOOGLETRANSLATE(B56,""zh"",""vi"")"),"liệu")</f>
        <v>liệu</v>
      </c>
      <c r="F56" t="str">
        <v>5. Đời sống sinh hoạt</v>
      </c>
    </row>
    <row r="57">
      <c r="A57">
        <v>56</v>
      </c>
      <c r="B57" t="str">
        <v>不满</v>
      </c>
      <c r="D57" t="str">
        <v>bùmǎn</v>
      </c>
      <c r="E57" t="str">
        <f>IFERROR(__xludf.DUMMYFUNCTION("GOOGLETRANSLATE(B57,""zh"",""vi"")"),"không hài lòng")</f>
        <v>không hài lòng</v>
      </c>
      <c r="F57" t="str">
        <v>1. Con người &amp; Các mối quan hệ</v>
      </c>
    </row>
    <row r="58">
      <c r="A58">
        <v>57</v>
      </c>
      <c r="B58" t="str">
        <v>部门</v>
      </c>
      <c r="D58" t="str">
        <v>bùmén</v>
      </c>
      <c r="E58" t="str">
        <f>IFERROR(__xludf.DUMMYFUNCTION("GOOGLETRANSLATE(B58,""zh"",""vi"")"),"phòng")</f>
        <v>phòng</v>
      </c>
      <c r="F58" t="str">
        <v>7. Địa điểm &amp; Nơi chốn</v>
      </c>
    </row>
    <row r="59">
      <c r="A59">
        <v>58</v>
      </c>
      <c r="B59" t="str">
        <v>不如</v>
      </c>
      <c r="D59" t="str">
        <v>bùrú</v>
      </c>
      <c r="E59" t="str">
        <f>IFERROR(__xludf.DUMMYFUNCTION("GOOGLETRANSLATE(B59,""zh"",""vi"")"),"Tốt hơn")</f>
        <v>Tốt hơn</v>
      </c>
      <c r="F59" t="str">
        <v>13. Miêu tả &amp; Đánh giá</v>
      </c>
    </row>
    <row r="60">
      <c r="A60">
        <v>59</v>
      </c>
      <c r="B60" t="str">
        <v>擦</v>
      </c>
      <c r="D60" t="str">
        <v>cā</v>
      </c>
      <c r="E60" t="str">
        <f>IFERROR(__xludf.DUMMYFUNCTION("GOOGLETRANSLATE(B60,""zh"",""vi"")"),"lau đi")</f>
        <v>lau đi</v>
      </c>
      <c r="F60" t="str">
        <v>8. Giao thông &amp; Di chuyển</v>
      </c>
    </row>
    <row r="61">
      <c r="A61">
        <v>60</v>
      </c>
      <c r="B61" t="str">
        <v>猜</v>
      </c>
      <c r="D61" t="str">
        <v>cāi</v>
      </c>
      <c r="E61" t="str">
        <f>IFERROR(__xludf.DUMMYFUNCTION("GOOGLETRANSLATE(B61,""zh"",""vi"")"),"Đoán")</f>
        <v>Đoán</v>
      </c>
      <c r="F61" t="str">
        <v>5. Đời sống sinh hoạt</v>
      </c>
    </row>
    <row r="62">
      <c r="A62">
        <v>61</v>
      </c>
      <c r="B62" t="str">
        <v>材料</v>
      </c>
      <c r="D62" t="str">
        <v>cáiliào</v>
      </c>
      <c r="E62" t="str">
        <f>IFERROR(__xludf.DUMMYFUNCTION("GOOGLETRANSLATE(B62,""zh"",""vi"")"),"Vật liệu")</f>
        <v>Vật liệu</v>
      </c>
      <c r="F62" t="str">
        <v>5. Đời sống sinh hoạt</v>
      </c>
    </row>
    <row r="63">
      <c r="A63">
        <v>62</v>
      </c>
      <c r="B63" t="str">
        <v>参观</v>
      </c>
      <c r="D63" t="str">
        <v>cānguān</v>
      </c>
      <c r="E63" t="str">
        <f>IFERROR(__xludf.DUMMYFUNCTION("GOOGLETRANSLATE(B63,""zh"",""vi"")"),"thăm nom")</f>
        <v>thăm nom</v>
      </c>
      <c r="F63" t="str">
        <v>5. Đời sống sinh hoạt</v>
      </c>
    </row>
    <row r="64">
      <c r="A64">
        <v>63</v>
      </c>
      <c r="B64" t="str">
        <v>参赛</v>
      </c>
      <c r="D64" t="str">
        <v>cānsài</v>
      </c>
      <c r="E64" t="str">
        <f>IFERROR(__xludf.DUMMYFUNCTION("GOOGLETRANSLATE(B64,""zh"",""vi"")"),"Cuộc thi")</f>
        <v>Cuộc thi</v>
      </c>
      <c r="F64" t="str">
        <v>5. Đời sống sinh hoạt</v>
      </c>
    </row>
    <row r="65">
      <c r="A65">
        <v>64</v>
      </c>
      <c r="B65" t="str">
        <v>餐厅</v>
      </c>
      <c r="D65" t="str">
        <v>cāntīng</v>
      </c>
      <c r="E65" t="str">
        <f>IFERROR(__xludf.DUMMYFUNCTION("GOOGLETRANSLATE(B65,""zh"",""vi"")"),"Phòng ăn")</f>
        <v>Phòng ăn</v>
      </c>
      <c r="F65" t="str">
        <v>5. Đời sống sinh hoạt</v>
      </c>
    </row>
    <row r="66">
      <c r="A66">
        <v>65</v>
      </c>
      <c r="B66" t="str">
        <v>操场</v>
      </c>
      <c r="D66" t="str">
        <v>cāochǎng</v>
      </c>
      <c r="E66" t="str">
        <f>IFERROR(__xludf.DUMMYFUNCTION("GOOGLETRANSLATE(B66,""zh"",""vi"")"),"sân chơi")</f>
        <v>sân chơi</v>
      </c>
      <c r="F66" t="str">
        <v>5. Đời sống sinh hoạt</v>
      </c>
    </row>
    <row r="67">
      <c r="A67">
        <v>66</v>
      </c>
      <c r="B67" t="str">
        <v>厕所</v>
      </c>
      <c r="D67" t="str">
        <v>cèsuǒ</v>
      </c>
      <c r="E67" t="str">
        <f>IFERROR(__xludf.DUMMYFUNCTION("GOOGLETRANSLATE(B67,""zh"",""vi"")"),"phòng tắm")</f>
        <v>phòng tắm</v>
      </c>
      <c r="F67" t="str">
        <v>5. Đời sống sinh hoạt</v>
      </c>
    </row>
    <row r="68">
      <c r="A68">
        <v>67</v>
      </c>
      <c r="B68" t="str">
        <v>查看</v>
      </c>
      <c r="D68" t="str">
        <v>chákàn</v>
      </c>
      <c r="E68" t="str">
        <f>IFERROR(__xludf.DUMMYFUNCTION("GOOGLETRANSLATE(B68,""zh"",""vi"")"),"Kiểm tra")</f>
        <v>Kiểm tra</v>
      </c>
      <c r="F68" t="str">
        <v>4. Tư duy &amp; Nhận thức</v>
      </c>
    </row>
    <row r="69">
      <c r="A69">
        <v>68</v>
      </c>
      <c r="B69" t="str">
        <v>厂</v>
      </c>
      <c r="D69" t="str">
        <v>chǎng</v>
      </c>
      <c r="E69" t="str">
        <f>IFERROR(__xludf.DUMMYFUNCTION("GOOGLETRANSLATE(B69,""zh"",""vi"")"),"nhà máy")</f>
        <v>nhà máy</v>
      </c>
      <c r="F69" t="str">
        <v>6. Đồ vật &amp; Công cụ</v>
      </c>
    </row>
    <row r="70">
      <c r="A70">
        <v>69</v>
      </c>
      <c r="B70" t="str">
        <v>场</v>
      </c>
      <c r="D70" t="str">
        <v>chǎng</v>
      </c>
      <c r="E70" t="str">
        <f>IFERROR(__xludf.DUMMYFUNCTION("GOOGLETRANSLATE(B70,""zh"",""vi"")"),"cánh đồng")</f>
        <v>cánh đồng</v>
      </c>
      <c r="F70" t="str">
        <v>5. Đời sống sinh hoạt</v>
      </c>
    </row>
    <row r="71">
      <c r="A71">
        <v>70</v>
      </c>
      <c r="B71" t="str">
        <v>产生</v>
      </c>
      <c r="D71" t="str">
        <v>chǎnshēng</v>
      </c>
      <c r="E71" t="str">
        <f>IFERROR(__xludf.DUMMYFUNCTION("GOOGLETRANSLATE(B71,""zh"",""vi"")"),"sản xuất")</f>
        <v>sản xuất</v>
      </c>
      <c r="F71" t="str">
        <v>5. Đời sống sinh hoạt</v>
      </c>
    </row>
    <row r="72">
      <c r="A72">
        <v>71</v>
      </c>
      <c r="B72" t="str">
        <v>超过</v>
      </c>
      <c r="D72" t="str">
        <v>chāoguò</v>
      </c>
      <c r="E72" t="str">
        <f>IFERROR(__xludf.DUMMYFUNCTION("GOOGLETRANSLATE(B72,""zh"",""vi"")"),"Quá")</f>
        <v>Quá</v>
      </c>
      <c r="F72" t="str">
        <v>5. Đời sống sinh hoạt</v>
      </c>
    </row>
    <row r="73">
      <c r="A73">
        <v>72</v>
      </c>
      <c r="B73" t="str">
        <v>茶叶</v>
      </c>
      <c r="D73" t="str">
        <v>cháyè</v>
      </c>
      <c r="E73" t="str">
        <f>IFERROR(__xludf.DUMMYFUNCTION("GOOGLETRANSLATE(B73,""zh"",""vi"")"),"trà")</f>
        <v>trà</v>
      </c>
      <c r="F73" t="str">
        <v>5. Đời sống sinh hoạt</v>
      </c>
    </row>
    <row r="74">
      <c r="A74">
        <v>73</v>
      </c>
      <c r="B74" t="str">
        <v>差(一)点儿</v>
      </c>
      <c r="D74" t="str">
        <v>chà(yì)diǎnr</v>
      </c>
      <c r="E74" t="str">
        <f>IFERROR(__xludf.DUMMYFUNCTION("GOOGLETRANSLATE(B74,""zh"",""vi"")"),"Hầu hết")</f>
        <v>Hầu hết</v>
      </c>
      <c r="F74" t="str">
        <v>5. Đời sống sinh hoạt</v>
      </c>
    </row>
    <row r="75">
      <c r="A75">
        <v>74</v>
      </c>
      <c r="B75" t="str">
        <v>查找</v>
      </c>
      <c r="D75" t="str">
        <v>cházhǎo</v>
      </c>
      <c r="E75" t="str">
        <f>IFERROR(__xludf.DUMMYFUNCTION("GOOGLETRANSLATE(B75,""zh"",""vi"")"),"Tìm kiếm")</f>
        <v>Tìm kiếm</v>
      </c>
      <c r="F75" t="str">
        <v>5. Đời sống sinh hoạt</v>
      </c>
    </row>
    <row r="76">
      <c r="A76">
        <v>75</v>
      </c>
      <c r="B76" t="str">
        <v>城</v>
      </c>
      <c r="D76" t="str">
        <v>chéng</v>
      </c>
      <c r="E76" t="str">
        <f>IFERROR(__xludf.DUMMYFUNCTION("GOOGLETRANSLATE(B76,""zh"",""vi"")"),"thành phố")</f>
        <v>thành phố</v>
      </c>
      <c r="F76" t="str">
        <v>7. Địa điểm &amp; Nơi chốn</v>
      </c>
    </row>
    <row r="77">
      <c r="A77">
        <v>76</v>
      </c>
      <c r="B77" t="str">
        <v>乘</v>
      </c>
      <c r="D77" t="str">
        <v>chéng</v>
      </c>
      <c r="E77" t="str">
        <f>IFERROR(__xludf.DUMMYFUNCTION("GOOGLETRANSLATE(B77,""zh"",""vi"")"),"lấy")</f>
        <v>lấy</v>
      </c>
      <c r="F77" t="str">
        <v>5. Đời sống sinh hoạt</v>
      </c>
    </row>
    <row r="78">
      <c r="A78">
        <v>77</v>
      </c>
      <c r="B78" t="str">
        <v>成功</v>
      </c>
      <c r="D78" t="str">
        <v>chénggōng</v>
      </c>
      <c r="E78" t="str">
        <f>IFERROR(__xludf.DUMMYFUNCTION("GOOGLETRANSLATE(B78,""zh"",""vi"")"),"thành công")</f>
        <v>thành công</v>
      </c>
      <c r="F78" t="str">
        <v>1. Con người &amp; Các mối quan hệ</v>
      </c>
    </row>
    <row r="79">
      <c r="A79">
        <v>78</v>
      </c>
      <c r="B79" t="str">
        <v>乘客</v>
      </c>
      <c r="D79" t="str">
        <v>chéngkè</v>
      </c>
      <c r="E79" t="str">
        <f>IFERROR(__xludf.DUMMYFUNCTION("GOOGLETRANSLATE(B79,""zh"",""vi"")"),"hành khách")</f>
        <v>hành khách</v>
      </c>
      <c r="F79" t="str">
        <v>1. Con người &amp; Các mối quan hệ</v>
      </c>
    </row>
    <row r="80">
      <c r="A80">
        <v>79</v>
      </c>
      <c r="B80" t="str">
        <v>诚实</v>
      </c>
      <c r="D80" t="str">
        <v>chéngshí</v>
      </c>
      <c r="E80" t="str">
        <f>IFERROR(__xludf.DUMMYFUNCTION("GOOGLETRANSLATE(B80,""zh"",""vi"")"),"trung thực")</f>
        <v>trung thực</v>
      </c>
      <c r="F80" t="str">
        <v>5. Đời sống sinh hoạt</v>
      </c>
    </row>
    <row r="81">
      <c r="A81">
        <v>80</v>
      </c>
      <c r="B81" t="str">
        <v>成为</v>
      </c>
      <c r="D81" t="str">
        <v>chéngwéi</v>
      </c>
      <c r="E81" t="str">
        <f>IFERROR(__xludf.DUMMYFUNCTION("GOOGLETRANSLATE(B81,""zh"",""vi"")"),"trở nên")</f>
        <v>trở nên</v>
      </c>
      <c r="F81" t="str">
        <v>5. Đời sống sinh hoạt</v>
      </c>
    </row>
    <row r="82">
      <c r="A82">
        <v>81</v>
      </c>
      <c r="B82" t="str">
        <v>乘坐</v>
      </c>
      <c r="D82" t="str">
        <v>chéngzuò</v>
      </c>
      <c r="E82" t="str">
        <f>IFERROR(__xludf.DUMMYFUNCTION("GOOGLETRANSLATE(B82,""zh"",""vi"")"),"lái")</f>
        <v>lái</v>
      </c>
      <c r="F82" t="str">
        <v>8. Giao thông &amp; Di chuyển</v>
      </c>
    </row>
    <row r="83">
      <c r="A83">
        <v>82</v>
      </c>
      <c r="B83" t="str">
        <v>车速</v>
      </c>
      <c r="D83" t="str">
        <v>chēsù</v>
      </c>
      <c r="E83" t="str">
        <f>IFERROR(__xludf.DUMMYFUNCTION("GOOGLETRANSLATE(B83,""zh"",""vi"")"),"Tốc độ")</f>
        <v>Tốc độ</v>
      </c>
      <c r="F83" t="str">
        <v>5. Đời sống sinh hoạt</v>
      </c>
    </row>
    <row r="84">
      <c r="A84">
        <v>83</v>
      </c>
      <c r="B84" t="str">
        <v>车位</v>
      </c>
      <c r="D84" t="str">
        <v>chēwèi</v>
      </c>
      <c r="E84" t="str">
        <f>IFERROR(__xludf.DUMMYFUNCTION("GOOGLETRANSLATE(B84,""zh"",""vi"")"),"chỗ đậu xe")</f>
        <v>chỗ đậu xe</v>
      </c>
      <c r="F84" t="str">
        <v>8. Giao thông &amp; Di chuyển</v>
      </c>
    </row>
    <row r="85">
      <c r="A85">
        <v>84</v>
      </c>
      <c r="B85" t="str">
        <v>迟</v>
      </c>
      <c r="D85" t="str">
        <v>chí</v>
      </c>
      <c r="E85" t="str">
        <f>IFERROR(__xludf.DUMMYFUNCTION("GOOGLETRANSLATE(B85,""zh"",""vi"")"),"Muộn")</f>
        <v>Muộn</v>
      </c>
      <c r="F85" t="str">
        <v>5. Đời sống sinh hoạt</v>
      </c>
    </row>
    <row r="86">
      <c r="A86">
        <v>85</v>
      </c>
      <c r="B86" t="str">
        <v>吃惊</v>
      </c>
      <c r="D86" t="str">
        <v>chījīng</v>
      </c>
      <c r="E86" t="str">
        <f>IFERROR(__xludf.DUMMYFUNCTION("GOOGLETRANSLATE(B86,""zh"",""vi"")"),"Ngạc nhiên")</f>
        <v>Ngạc nhiên</v>
      </c>
      <c r="F86" t="str">
        <v>5. Đời sống sinh hoạt</v>
      </c>
    </row>
    <row r="87">
      <c r="A87">
        <v>86</v>
      </c>
      <c r="B87" t="str">
        <v>重</v>
      </c>
      <c r="D87" t="str">
        <v>chóng</v>
      </c>
      <c r="E87" t="str">
        <f>IFERROR(__xludf.DUMMYFUNCTION("GOOGLETRANSLATE(B87,""zh"",""vi"")"),"Nặng")</f>
        <v>Nặng</v>
      </c>
      <c r="F87" t="str">
        <v>5. Đời sống sinh hoạt</v>
      </c>
    </row>
    <row r="88">
      <c r="A88">
        <v>87</v>
      </c>
      <c r="B88" t="str">
        <v>重新</v>
      </c>
      <c r="D88" t="str">
        <v>chóngxīn</v>
      </c>
      <c r="E88" t="str">
        <f>IFERROR(__xludf.DUMMYFUNCTION("GOOGLETRANSLATE(B88,""zh"",""vi"")"),"lại")</f>
        <v>lại</v>
      </c>
      <c r="F88" t="str">
        <v>5. Đời sống sinh hoạt</v>
      </c>
    </row>
    <row r="89">
      <c r="A89">
        <v>88</v>
      </c>
      <c r="B89" t="str">
        <v>窗</v>
      </c>
      <c r="D89" t="str">
        <v>chuāng</v>
      </c>
      <c r="E89" t="str">
        <f>IFERROR(__xludf.DUMMYFUNCTION("GOOGLETRANSLATE(B89,""zh"",""vi"")"),"cửa sổ")</f>
        <v>cửa sổ</v>
      </c>
      <c r="F89" t="str">
        <v>7. Địa điểm &amp; Nơi chốn</v>
      </c>
    </row>
    <row r="90">
      <c r="A90">
        <v>89</v>
      </c>
      <c r="B90" t="str">
        <v>窗户</v>
      </c>
      <c r="D90" t="str">
        <v>chuānghu</v>
      </c>
      <c r="E90" t="str">
        <f>IFERROR(__xludf.DUMMYFUNCTION("GOOGLETRANSLATE(B90,""zh"",""vi"")"),"cửa sổ")</f>
        <v>cửa sổ</v>
      </c>
      <c r="F90" t="str">
        <v>7. Địa điểm &amp; Nơi chốn</v>
      </c>
    </row>
    <row r="91">
      <c r="A91">
        <v>90</v>
      </c>
      <c r="B91" t="str">
        <v>出差</v>
      </c>
      <c r="D91" t="str">
        <v>chūchāi</v>
      </c>
      <c r="E91" t="str">
        <f>IFERROR(__xludf.DUMMYFUNCTION("GOOGLETRANSLATE(B91,""zh"",""vi"")"),"Đang đi công tác")</f>
        <v>Đang đi công tác</v>
      </c>
      <c r="F91" t="str">
        <v>1. Con người &amp; Các mối quan hệ</v>
      </c>
    </row>
    <row r="92">
      <c r="A92">
        <v>91</v>
      </c>
      <c r="B92" t="str">
        <v>厨房</v>
      </c>
      <c r="D92" t="str">
        <v>chúfáng</v>
      </c>
      <c r="E92" t="str">
        <f>IFERROR(__xludf.DUMMYFUNCTION("GOOGLETRANSLATE(B92,""zh"",""vi"")"),"phòng bếp")</f>
        <v>phòng bếp</v>
      </c>
      <c r="F92" t="str">
        <v>7. Địa điểm &amp; Nơi chốn</v>
      </c>
    </row>
    <row r="93">
      <c r="A93">
        <v>92</v>
      </c>
      <c r="B93" t="str">
        <v>吹</v>
      </c>
      <c r="D93" t="str">
        <v>chuī</v>
      </c>
      <c r="E93" t="str">
        <f>IFERROR(__xludf.DUMMYFUNCTION("GOOGLETRANSLATE(B93,""zh"",""vi"")"),"thổi")</f>
        <v>thổi</v>
      </c>
      <c r="F93" t="str">
        <v>5. Đời sống sinh hoạt</v>
      </c>
    </row>
    <row r="94">
      <c r="A94">
        <v>93</v>
      </c>
      <c r="B94" t="str">
        <v>出口</v>
      </c>
      <c r="D94" t="str">
        <v>chūkǒu</v>
      </c>
      <c r="E94" t="str">
        <f>IFERROR(__xludf.DUMMYFUNCTION("GOOGLETRANSLATE(B94,""zh"",""vi"")"),"ra")</f>
        <v>ra</v>
      </c>
      <c r="F94" t="str">
        <v>5. Đời sống sinh hoạt</v>
      </c>
    </row>
    <row r="95">
      <c r="A95">
        <v>94</v>
      </c>
      <c r="B95" t="str">
        <v>厨师</v>
      </c>
      <c r="D95" t="str">
        <v>chúshī</v>
      </c>
      <c r="E95" t="str">
        <f>IFERROR(__xludf.DUMMYFUNCTION("GOOGLETRANSLATE(B95,""zh"",""vi"")"),"đầu bếp")</f>
        <v>đầu bếp</v>
      </c>
      <c r="F95" t="str">
        <v>2. Cơ thể &amp; Sức khỏe</v>
      </c>
    </row>
    <row r="96">
      <c r="A96">
        <v>95</v>
      </c>
      <c r="B96" t="str">
        <v>出现</v>
      </c>
      <c r="D96" t="str">
        <v>chūxiàn</v>
      </c>
      <c r="E96" t="str">
        <f>IFERROR(__xludf.DUMMYFUNCTION("GOOGLETRANSLATE(B96,""zh"",""vi"")"),"Xuất hiện")</f>
        <v>Xuất hiện</v>
      </c>
      <c r="F96" t="str">
        <v>5. Đời sống sinh hoạt</v>
      </c>
    </row>
    <row r="97">
      <c r="A97">
        <v>96</v>
      </c>
      <c r="B97" t="str">
        <v>出行</v>
      </c>
      <c r="D97" t="str">
        <v>chūxíng</v>
      </c>
      <c r="E97" t="str">
        <f>IFERROR(__xludf.DUMMYFUNCTION("GOOGLETRANSLATE(B97,""zh"",""vi"")"),"du lịch")</f>
        <v>du lịch</v>
      </c>
      <c r="F97" t="str">
        <v>5. Đời sống sinh hoạt</v>
      </c>
    </row>
    <row r="98">
      <c r="A98">
        <v>97</v>
      </c>
      <c r="B98" t="str">
        <v>出租</v>
      </c>
      <c r="D98" t="str">
        <v>chūzū</v>
      </c>
      <c r="E98" t="str">
        <f>IFERROR(__xludf.DUMMYFUNCTION("GOOGLETRANSLATE(B98,""zh"",""vi"")"),"thuê")</f>
        <v>thuê</v>
      </c>
      <c r="F98" t="str">
        <v>10. Thời gian</v>
      </c>
    </row>
    <row r="99">
      <c r="A99">
        <v>98</v>
      </c>
      <c r="B99" t="str">
        <v>此</v>
      </c>
      <c r="D99" t="str">
        <v>cǐ</v>
      </c>
      <c r="E99" t="str">
        <f>IFERROR(__xludf.DUMMYFUNCTION("GOOGLETRANSLATE(B99,""zh"",""vi"")"),"cái này")</f>
        <v>cái này</v>
      </c>
      <c r="F99" t="str">
        <v>5. Đời sống sinh hoạt</v>
      </c>
    </row>
    <row r="100">
      <c r="A100">
        <v>99</v>
      </c>
      <c r="B100" t="str">
        <v>此次</v>
      </c>
      <c r="D100" t="str">
        <v>cǐcì</v>
      </c>
      <c r="E100" t="str">
        <f>IFERROR(__xludf.DUMMYFUNCTION("GOOGLETRANSLATE(B100,""zh"",""vi"")"),"Lần này")</f>
        <v>Lần này</v>
      </c>
      <c r="F100" t="str">
        <v>5. Đời sống sinh hoạt</v>
      </c>
    </row>
    <row r="101">
      <c r="A101">
        <v>100</v>
      </c>
      <c r="B101" t="str">
        <v>此外</v>
      </c>
      <c r="D101" t="str">
        <v>cǐwài</v>
      </c>
      <c r="E101" t="str">
        <f>IFERROR(__xludf.DUMMYFUNCTION("GOOGLETRANSLATE(B101,""zh"",""vi"")"),"Mà còn")</f>
        <v>Mà còn</v>
      </c>
      <c r="F101" t="str">
        <v>5. Đời sống sinh hoạt</v>
      </c>
    </row>
    <row r="102">
      <c r="A102">
        <v>101</v>
      </c>
      <c r="B102" t="str">
        <v>词语</v>
      </c>
      <c r="D102" t="str">
        <v>cíyǔ</v>
      </c>
      <c r="E102" t="str">
        <f>IFERROR(__xludf.DUMMYFUNCTION("GOOGLETRANSLATE(B102,""zh"",""vi"")"),"từ")</f>
        <v>từ</v>
      </c>
      <c r="F102" t="str">
        <v>5. Đời sống sinh hoạt</v>
      </c>
    </row>
    <row r="103">
      <c r="A103">
        <v>102</v>
      </c>
      <c r="B103" t="str">
        <v>从此</v>
      </c>
      <c r="D103" t="str">
        <v>cóngcǐ</v>
      </c>
      <c r="E103" t="str">
        <f>IFERROR(__xludf.DUMMYFUNCTION("GOOGLETRANSLATE(B103,""zh"",""vi"")"),"Từ đó trở đi")</f>
        <v>Từ đó trở đi</v>
      </c>
      <c r="F103" t="str">
        <v>8. Giao thông &amp; Di chuyển</v>
      </c>
    </row>
    <row r="104">
      <c r="A104">
        <v>103</v>
      </c>
      <c r="B104" t="str">
        <v>从来</v>
      </c>
      <c r="D104" t="str">
        <v>cónglái</v>
      </c>
      <c r="E104" t="str">
        <f>IFERROR(__xludf.DUMMYFUNCTION("GOOGLETRANSLATE(B104,""zh"",""vi"")"),"Không bao giờ")</f>
        <v>Không bao giờ</v>
      </c>
      <c r="F104" t="str">
        <v>10. Thời gian</v>
      </c>
    </row>
    <row r="105">
      <c r="A105">
        <v>104</v>
      </c>
      <c r="B105" t="str">
        <v>从中</v>
      </c>
      <c r="D105" t="str">
        <v>cóngzhōng</v>
      </c>
      <c r="E105" t="str">
        <f>IFERROR(__xludf.DUMMYFUNCTION("GOOGLETRANSLATE(B105,""zh"",""vi"")"),"từ")</f>
        <v>từ</v>
      </c>
      <c r="F105" t="str">
        <v>5. Đời sống sinh hoạt</v>
      </c>
    </row>
    <row r="106">
      <c r="A106">
        <v>105</v>
      </c>
      <c r="B106" t="str">
        <v>粗</v>
      </c>
      <c r="D106" t="str">
        <v>cū</v>
      </c>
      <c r="E106" t="str">
        <f>IFERROR(__xludf.DUMMYFUNCTION("GOOGLETRANSLATE(B106,""zh"",""vi"")"),"dày")</f>
        <v>dày</v>
      </c>
      <c r="F106" t="str">
        <v>5. Đời sống sinh hoạt</v>
      </c>
    </row>
    <row r="107">
      <c r="A107">
        <v>106</v>
      </c>
      <c r="B107" t="str">
        <v>存</v>
      </c>
      <c r="D107" t="str">
        <v>cún</v>
      </c>
      <c r="E107" t="str">
        <f>IFERROR(__xludf.DUMMYFUNCTION("GOOGLETRANSLATE(B107,""zh"",""vi"")"),"sống")</f>
        <v>sống</v>
      </c>
      <c r="F107" t="str">
        <v>14. Số lượng &amp; Đo lường</v>
      </c>
    </row>
    <row r="108">
      <c r="A108">
        <v>107</v>
      </c>
      <c r="B108" t="str">
        <v>村</v>
      </c>
      <c r="D108" t="str">
        <v>cūn</v>
      </c>
      <c r="E108" t="str">
        <f>IFERROR(__xludf.DUMMYFUNCTION("GOOGLETRANSLATE(B108,""zh"",""vi"")"),"làng bản")</f>
        <v>làng bản</v>
      </c>
      <c r="F108" t="str">
        <v>5. Đời sống sinh hoạt</v>
      </c>
    </row>
    <row r="109">
      <c r="A109">
        <v>108</v>
      </c>
      <c r="B109" t="str">
        <v>错过</v>
      </c>
      <c r="D109" t="str">
        <v>cuòguò</v>
      </c>
      <c r="E109" t="str">
        <f>IFERROR(__xludf.DUMMYFUNCTION("GOOGLETRANSLATE(B109,""zh"",""vi"")"),"cô")</f>
        <v>cô</v>
      </c>
      <c r="F109" t="str">
        <v>1. Con người &amp; Các mối quan hệ</v>
      </c>
    </row>
    <row r="110">
      <c r="A110">
        <v>109</v>
      </c>
      <c r="B110" t="str">
        <v>错误</v>
      </c>
      <c r="D110" t="str">
        <v>cuòwù</v>
      </c>
      <c r="E110" t="str">
        <f>IFERROR(__xludf.DUMMYFUNCTION("GOOGLETRANSLATE(B110,""zh"",""vi"")"),"sai lầm")</f>
        <v>sai lầm</v>
      </c>
      <c r="F110" t="str">
        <v>5. Đời sống sinh hoạt</v>
      </c>
    </row>
    <row r="111">
      <c r="A111">
        <v>110</v>
      </c>
      <c r="B111" t="str">
        <v>粗心</v>
      </c>
      <c r="D111" t="str">
        <v>cūxīn</v>
      </c>
      <c r="E111" t="str">
        <f>IFERROR(__xludf.DUMMYFUNCTION("GOOGLETRANSLATE(B111,""zh"",""vi"")"),"bất cẩn")</f>
        <v>bất cẩn</v>
      </c>
      <c r="F111" t="str">
        <v>5. Đời sống sinh hoạt</v>
      </c>
    </row>
    <row r="112">
      <c r="A112">
        <v>111</v>
      </c>
      <c r="B112" t="str">
        <v>答</v>
      </c>
      <c r="D112" t="str">
        <v>dá</v>
      </c>
      <c r="E112" t="str">
        <f>IFERROR(__xludf.DUMMYFUNCTION("GOOGLETRANSLATE(B112,""zh"",""vi"")"),"trả lời")</f>
        <v>trả lời</v>
      </c>
      <c r="F112" t="str">
        <v>5. Đời sống sinh hoạt</v>
      </c>
    </row>
    <row r="113">
      <c r="A113">
        <v>112</v>
      </c>
      <c r="B113" t="str">
        <v>打招呼</v>
      </c>
      <c r="D113" t="str">
        <v>dǎ zhāohu</v>
      </c>
      <c r="E113" t="str">
        <f>IFERROR(__xludf.DUMMYFUNCTION("GOOGLETRANSLATE(B113,""zh"",""vi"")"),"chào hỏi")</f>
        <v>chào hỏi</v>
      </c>
      <c r="F113" t="str">
        <v>5. Đời sống sinh hoạt</v>
      </c>
    </row>
    <row r="114">
      <c r="A114">
        <v>113</v>
      </c>
      <c r="B114" t="str">
        <v>答案</v>
      </c>
      <c r="D114" t="str">
        <v>dá'àn</v>
      </c>
      <c r="E114" t="str">
        <f>IFERROR(__xludf.DUMMYFUNCTION("GOOGLETRANSLATE(B114,""zh"",""vi"")"),"Trả lời")</f>
        <v>Trả lời</v>
      </c>
      <c r="F114" t="str">
        <v>5. Đời sống sinh hoạt</v>
      </c>
    </row>
    <row r="115">
      <c r="A115">
        <v>114</v>
      </c>
      <c r="B115" t="str">
        <v>大巴</v>
      </c>
      <c r="D115" t="str">
        <v>dàbā</v>
      </c>
      <c r="E115" t="str">
        <f>IFERROR(__xludf.DUMMYFUNCTION("GOOGLETRANSLATE(B115,""zh"",""vi"")"),"xe buýt")</f>
        <v>xe buýt</v>
      </c>
      <c r="F115" t="str">
        <v>8. Giao thông &amp; Di chuyển</v>
      </c>
    </row>
    <row r="116">
      <c r="A116">
        <v>115</v>
      </c>
      <c r="B116" t="str">
        <v>打败</v>
      </c>
      <c r="D116" t="str">
        <v>dǎbài</v>
      </c>
      <c r="E116" t="str">
        <f>IFERROR(__xludf.DUMMYFUNCTION("GOOGLETRANSLATE(B116,""zh"",""vi"")"),"đánh bại")</f>
        <v>đánh bại</v>
      </c>
      <c r="F116" t="str">
        <v>5. Đời sống sinh hoạt</v>
      </c>
    </row>
    <row r="117">
      <c r="A117">
        <v>116</v>
      </c>
      <c r="B117" t="str">
        <v>大大</v>
      </c>
      <c r="D117" t="str">
        <v>dàdà</v>
      </c>
      <c r="E117" t="str">
        <f>IFERROR(__xludf.DUMMYFUNCTION("GOOGLETRANSLATE(B117,""zh"",""vi"")"),"To To")</f>
        <v>To To</v>
      </c>
      <c r="F117" t="str">
        <v>13. Miêu tả &amp; Đánh giá</v>
      </c>
    </row>
    <row r="118">
      <c r="A118">
        <v>117</v>
      </c>
      <c r="B118" t="str">
        <v>达到</v>
      </c>
      <c r="D118" t="str">
        <v>dádào</v>
      </c>
      <c r="E118" t="str">
        <f>IFERROR(__xludf.DUMMYFUNCTION("GOOGLETRANSLATE(B118,""zh"",""vi"")"),"đạt được")</f>
        <v>đạt được</v>
      </c>
      <c r="F118" t="str">
        <v>5. Đời sống sinh hoạt</v>
      </c>
    </row>
    <row r="119">
      <c r="A119">
        <v>118</v>
      </c>
      <c r="B119" t="str">
        <v>打工</v>
      </c>
      <c r="D119" t="str">
        <v>dǎgōng</v>
      </c>
      <c r="E119" t="str">
        <f>IFERROR(__xludf.DUMMYFUNCTION("GOOGLETRANSLATE(B119,""zh"",""vi"")"),"làm việc để kiếm sống")</f>
        <v>làm việc để kiếm sống</v>
      </c>
      <c r="F119" t="str">
        <v>12. Công việc &amp; Nghề nghiệp</v>
      </c>
    </row>
    <row r="120">
      <c r="A120">
        <v>119</v>
      </c>
      <c r="B120" t="str">
        <v>戴</v>
      </c>
      <c r="D120" t="str">
        <v>dài</v>
      </c>
      <c r="E120" t="str">
        <f>IFERROR(__xludf.DUMMYFUNCTION("GOOGLETRANSLATE(B120,""zh"",""vi"")"),"Mặc")</f>
        <v>Mặc</v>
      </c>
      <c r="F120" t="str">
        <v>5. Đời sống sinh hoạt</v>
      </c>
    </row>
    <row r="121">
      <c r="A121">
        <v>120</v>
      </c>
      <c r="B121" t="str">
        <v>待</v>
      </c>
      <c r="D121" t="str">
        <v>dāi</v>
      </c>
      <c r="E121" t="str">
        <f>IFERROR(__xludf.DUMMYFUNCTION("GOOGLETRANSLATE(B121,""zh"",""vi"")"),"đối xử")</f>
        <v>đối xử</v>
      </c>
      <c r="F121" t="str">
        <v>5. Đời sống sinh hoạt</v>
      </c>
    </row>
    <row r="122">
      <c r="A122">
        <v>121</v>
      </c>
      <c r="B122" t="str">
        <v>大夫</v>
      </c>
      <c r="D122" t="str">
        <v>dàifu</v>
      </c>
      <c r="E122" t="str">
        <f>IFERROR(__xludf.DUMMYFUNCTION("GOOGLETRANSLATE(B122,""zh"",""vi"")"),"bác sĩ")</f>
        <v>bác sĩ</v>
      </c>
      <c r="F122" t="str">
        <v>2. Cơ thể &amp; Sức khỏe</v>
      </c>
    </row>
    <row r="123">
      <c r="A123">
        <v>122</v>
      </c>
      <c r="B123" t="str">
        <v>袋子</v>
      </c>
      <c r="D123" t="str">
        <v>dàizi</v>
      </c>
      <c r="E123" t="str">
        <f>IFERROR(__xludf.DUMMYFUNCTION("GOOGLETRANSLATE(B123,""zh"",""vi"")"),"cái túi")</f>
        <v>cái túi</v>
      </c>
      <c r="F123" t="str">
        <v>5. Đời sống sinh hoạt</v>
      </c>
    </row>
    <row r="124">
      <c r="A124">
        <v>123</v>
      </c>
      <c r="B124" t="str">
        <v>大量</v>
      </c>
      <c r="D124" t="str">
        <v>dàliàng</v>
      </c>
      <c r="E124" t="str">
        <f>IFERROR(__xludf.DUMMYFUNCTION("GOOGLETRANSLATE(B124,""zh"",""vi"")"),"số lượng lớn")</f>
        <v>số lượng lớn</v>
      </c>
      <c r="F124" t="str">
        <v>13. Miêu tả &amp; Đánh giá</v>
      </c>
    </row>
    <row r="125">
      <c r="A125">
        <v>124</v>
      </c>
      <c r="B125" t="str">
        <v>当</v>
      </c>
      <c r="D125" t="str">
        <v>dāng</v>
      </c>
      <c r="E125" t="str">
        <f>IFERROR(__xludf.DUMMYFUNCTION("GOOGLETRANSLATE(B125,""zh"",""vi"")"),"khi")</f>
        <v>khi</v>
      </c>
      <c r="F125" t="str">
        <v>10. Thời gian</v>
      </c>
    </row>
    <row r="126">
      <c r="A126">
        <v>125</v>
      </c>
      <c r="B126" t="str">
        <v>当时</v>
      </c>
      <c r="D126" t="str">
        <v>dāngshí</v>
      </c>
      <c r="E126" t="str">
        <f>IFERROR(__xludf.DUMMYFUNCTION("GOOGLETRANSLATE(B126,""zh"",""vi"")"),"sau đó")</f>
        <v>sau đó</v>
      </c>
      <c r="F126" t="str">
        <v>9. Không gian &amp; Vị trí</v>
      </c>
    </row>
    <row r="127">
      <c r="A127">
        <v>126</v>
      </c>
      <c r="B127" t="str">
        <v>单位</v>
      </c>
      <c r="D127" t="str">
        <v>dānwèi</v>
      </c>
      <c r="E127" t="str">
        <f>IFERROR(__xludf.DUMMYFUNCTION("GOOGLETRANSLATE(B127,""zh"",""vi"")"),"đơn vị")</f>
        <v>đơn vị</v>
      </c>
      <c r="F127" t="str">
        <v>5. Đời sống sinh hoạt</v>
      </c>
    </row>
    <row r="128">
      <c r="A128">
        <v>127</v>
      </c>
      <c r="B128" t="str">
        <v>倒</v>
      </c>
      <c r="D128" t="str">
        <v>dào</v>
      </c>
      <c r="E128" t="str">
        <f>IFERROR(__xludf.DUMMYFUNCTION("GOOGLETRANSLATE(B128,""zh"",""vi"")"),"ngã")</f>
        <v>ngã</v>
      </c>
      <c r="F128" t="str">
        <v>5. Đời sống sinh hoạt</v>
      </c>
    </row>
    <row r="129">
      <c r="A129">
        <v>128</v>
      </c>
      <c r="B129" t="str">
        <v>道</v>
      </c>
      <c r="D129" t="str">
        <v>dào</v>
      </c>
      <c r="E129" t="str">
        <f>IFERROR(__xludf.DUMMYFUNCTION("GOOGLETRANSLATE(B129,""zh"",""vi"")"),"đường")</f>
        <v>đường</v>
      </c>
      <c r="F129" t="str">
        <v>8. Giao thông &amp; Di chuyển</v>
      </c>
    </row>
    <row r="130">
      <c r="A130">
        <v>129</v>
      </c>
      <c r="B130" t="str">
        <v>刀</v>
      </c>
      <c r="D130" t="str">
        <v>dāo</v>
      </c>
      <c r="E130" t="str">
        <f>IFERROR(__xludf.DUMMYFUNCTION("GOOGLETRANSLATE(B130,""zh"",""vi"")"),"dao")</f>
        <v>dao</v>
      </c>
      <c r="F130" t="str">
        <v>5. Đời sống sinh hoạt</v>
      </c>
    </row>
    <row r="131">
      <c r="A131">
        <v>130</v>
      </c>
      <c r="B131" t="str">
        <v>到底</v>
      </c>
      <c r="D131" t="str">
        <v>dàodǐ</v>
      </c>
      <c r="E131" t="str">
        <f>IFERROR(__xludf.DUMMYFUNCTION("GOOGLETRANSLATE(B131,""zh"",""vi"")"),"cuối cùng")</f>
        <v>cuối cùng</v>
      </c>
      <c r="F131" t="str">
        <v>5. Đời sống sinh hoạt</v>
      </c>
    </row>
    <row r="132">
      <c r="A132">
        <v>131</v>
      </c>
      <c r="B132" t="str">
        <v>到来</v>
      </c>
      <c r="D132" t="str">
        <v>dàolái</v>
      </c>
      <c r="E132" t="str">
        <f>IFERROR(__xludf.DUMMYFUNCTION("GOOGLETRANSLATE(B132,""zh"",""vi"")"),"đến")</f>
        <v>đến</v>
      </c>
      <c r="F132" t="str">
        <v>8. Giao thông &amp; Di chuyển</v>
      </c>
    </row>
    <row r="133">
      <c r="A133">
        <v>132</v>
      </c>
      <c r="B133" t="str">
        <v>道路</v>
      </c>
      <c r="D133" t="str">
        <v>dàolù</v>
      </c>
      <c r="E133" t="str">
        <f>IFERROR(__xludf.DUMMYFUNCTION("GOOGLETRANSLATE(B133,""zh"",""vi"")"),"cách")</f>
        <v>cách</v>
      </c>
      <c r="F133" t="str">
        <v>5. Đời sống sinh hoạt</v>
      </c>
    </row>
    <row r="134">
      <c r="A134">
        <v>133</v>
      </c>
      <c r="B134" t="str">
        <v>道歉</v>
      </c>
      <c r="D134" t="str">
        <v>dàoqiàn</v>
      </c>
      <c r="E134" t="str">
        <f>IFERROR(__xludf.DUMMYFUNCTION("GOOGLETRANSLATE(B134,""zh"",""vi"")"),"Xin lỗi")</f>
        <v>Xin lỗi</v>
      </c>
      <c r="F134" t="str">
        <v>5. Đời sống sinh hoạt</v>
      </c>
    </row>
    <row r="135">
      <c r="A135">
        <v>134</v>
      </c>
      <c r="B135" t="str">
        <v>导游</v>
      </c>
      <c r="D135" t="str">
        <v>dǎoyóu</v>
      </c>
      <c r="E135" t="str">
        <f>IFERROR(__xludf.DUMMYFUNCTION("GOOGLETRANSLATE(B135,""zh"",""vi"")"),"hướng dẫn viên du lịch")</f>
        <v>hướng dẫn viên du lịch</v>
      </c>
      <c r="F135" t="str">
        <v>6. Đồ vật &amp; Công cụ</v>
      </c>
    </row>
    <row r="136">
      <c r="A136">
        <v>135</v>
      </c>
      <c r="B136" t="str">
        <v>打扰</v>
      </c>
      <c r="D136" t="str">
        <v>dǎrǎo</v>
      </c>
      <c r="E136" t="str">
        <f>IFERROR(__xludf.DUMMYFUNCTION("GOOGLETRANSLATE(B136,""zh"",""vi"")"),"quấy rầy")</f>
        <v>quấy rầy</v>
      </c>
      <c r="F136" t="str">
        <v>5. Đời sống sinh hoạt</v>
      </c>
    </row>
    <row r="137">
      <c r="A137">
        <v>136</v>
      </c>
      <c r="B137" t="str">
        <v>大赛</v>
      </c>
      <c r="D137" t="str">
        <v>dàsài</v>
      </c>
      <c r="E137" t="str">
        <f>IFERROR(__xludf.DUMMYFUNCTION("GOOGLETRANSLATE(B137,""zh"",""vi"")"),"Cuộc thi")</f>
        <v>Cuộc thi</v>
      </c>
      <c r="F137" t="str">
        <v>5. Đời sống sinh hoạt</v>
      </c>
    </row>
    <row r="138">
      <c r="A138">
        <v>137</v>
      </c>
      <c r="B138" t="str">
        <v>大厅</v>
      </c>
      <c r="D138" t="str">
        <v>dàtīng</v>
      </c>
      <c r="E138" t="str">
        <f>IFERROR(__xludf.DUMMYFUNCTION("GOOGLETRANSLATE(B138,""zh"",""vi"")"),"sảnh")</f>
        <v>sảnh</v>
      </c>
      <c r="F138" t="str">
        <v>6. Đồ vật &amp; Công cụ</v>
      </c>
    </row>
    <row r="139">
      <c r="A139">
        <v>138</v>
      </c>
      <c r="B139" t="str">
        <v>打印</v>
      </c>
      <c r="D139" t="str">
        <v>dǎyìn</v>
      </c>
      <c r="E139" t="str">
        <f>IFERROR(__xludf.DUMMYFUNCTION("GOOGLETRANSLATE(B139,""zh"",""vi"")"),"In")</f>
        <v>In</v>
      </c>
      <c r="F139" t="str">
        <v>5. Đời sống sinh hoạt</v>
      </c>
    </row>
    <row r="140">
      <c r="A140">
        <v>139</v>
      </c>
      <c r="B140" t="str">
        <v>答应</v>
      </c>
      <c r="D140" t="str">
        <v>dāying</v>
      </c>
      <c r="E140" t="str">
        <f>IFERROR(__xludf.DUMMYFUNCTION("GOOGLETRANSLATE(B140,""zh"",""vi"")"),"hứa")</f>
        <v>hứa</v>
      </c>
      <c r="F140" t="str">
        <v>5. Đời sống sinh hoạt</v>
      </c>
    </row>
    <row r="141">
      <c r="A141">
        <v>140</v>
      </c>
      <c r="B141" t="str">
        <v>打印机</v>
      </c>
      <c r="D141" t="str">
        <v>dǎyìnjī</v>
      </c>
      <c r="E141" t="str">
        <f>IFERROR(__xludf.DUMMYFUNCTION("GOOGLETRANSLATE(B141,""zh"",""vi"")"),"máy in")</f>
        <v>máy in</v>
      </c>
      <c r="F141" t="str">
        <v>6. Đồ vật &amp; Công cụ</v>
      </c>
    </row>
    <row r="142">
      <c r="A142">
        <v>141</v>
      </c>
      <c r="B142" t="str">
        <v>大约</v>
      </c>
      <c r="D142" t="str">
        <v>dàyuē</v>
      </c>
      <c r="E142" t="str">
        <f>IFERROR(__xludf.DUMMYFUNCTION("GOOGLETRANSLATE(B142,""zh"",""vi"")"),"Về")</f>
        <v>Về</v>
      </c>
      <c r="F142" t="str">
        <v>5. Đời sống sinh hoạt</v>
      </c>
    </row>
    <row r="143">
      <c r="A143">
        <v>142</v>
      </c>
      <c r="B143" t="str">
        <v>打折</v>
      </c>
      <c r="D143" t="str">
        <v>dǎzhé</v>
      </c>
      <c r="E143" t="str">
        <f>IFERROR(__xludf.DUMMYFUNCTION("GOOGLETRANSLATE(B143,""zh"",""vi"")"),"Giảm giá")</f>
        <v>Giảm giá</v>
      </c>
      <c r="F143" t="str">
        <v>5. Đời sống sinh hoạt</v>
      </c>
    </row>
    <row r="144">
      <c r="A144">
        <v>143</v>
      </c>
      <c r="B144" t="str">
        <v>打针</v>
      </c>
      <c r="D144" t="str">
        <v>dǎzhēn</v>
      </c>
      <c r="E144" t="str">
        <f>IFERROR(__xludf.DUMMYFUNCTION("GOOGLETRANSLATE(B144,""zh"",""vi"")"),"tiêm")</f>
        <v>tiêm</v>
      </c>
      <c r="F144" t="str">
        <v>5. Đời sống sinh hoạt</v>
      </c>
    </row>
    <row r="145">
      <c r="A145">
        <v>144</v>
      </c>
      <c r="B145" t="str">
        <v>大自然</v>
      </c>
      <c r="D145" t="str">
        <v>dàzìrán</v>
      </c>
      <c r="E145" t="str">
        <f>IFERROR(__xludf.DUMMYFUNCTION("GOOGLETRANSLATE(B145,""zh"",""vi"")"),"Thiên nhiên")</f>
        <v>Thiên nhiên</v>
      </c>
      <c r="F145" t="str">
        <v>16. Tự nhiên</v>
      </c>
    </row>
    <row r="146">
      <c r="A146">
        <v>145</v>
      </c>
      <c r="B146" t="str">
        <v>等2</v>
      </c>
      <c r="D146" t="str">
        <v>děng</v>
      </c>
      <c r="E146" t="str">
        <f>IFERROR(__xludf.DUMMYFUNCTION("GOOGLETRANSLATE(B146,""zh"",""vi"")"),"2")</f>
        <v>2</v>
      </c>
      <c r="F146" t="str">
        <v>5. Đời sống sinh hoạt</v>
      </c>
    </row>
    <row r="147">
      <c r="A147">
        <v>146</v>
      </c>
      <c r="B147" t="str">
        <v>等到</v>
      </c>
      <c r="D147" t="str">
        <v>děngdào</v>
      </c>
      <c r="E147" t="str">
        <f>IFERROR(__xludf.DUMMYFUNCTION("GOOGLETRANSLATE(B147,""zh"",""vi"")"),"đợi đến khi")</f>
        <v>đợi đến khi</v>
      </c>
      <c r="F147" t="str">
        <v>10. Thời gian</v>
      </c>
    </row>
    <row r="148">
      <c r="A148">
        <v>147</v>
      </c>
      <c r="B148" t="str">
        <v>登机</v>
      </c>
      <c r="D148" t="str">
        <v>dēngjī</v>
      </c>
      <c r="E148" t="str">
        <f>IFERROR(__xludf.DUMMYFUNCTION("GOOGLETRANSLATE(B148,""zh"",""vi"")"),"Lên tàu")</f>
        <v>Lên tàu</v>
      </c>
      <c r="F148" t="str">
        <v>8. Giao thông &amp; Di chuyển</v>
      </c>
    </row>
    <row r="149">
      <c r="A149">
        <v>148</v>
      </c>
      <c r="B149" t="str">
        <v>得意</v>
      </c>
      <c r="D149" t="str">
        <v>déyì</v>
      </c>
      <c r="E149" t="str">
        <f>IFERROR(__xludf.DUMMYFUNCTION("GOOGLETRANSLATE(B149,""zh"",""vi"")"),"tự hào")</f>
        <v>tự hào</v>
      </c>
      <c r="F149" t="str">
        <v>3. Cảm xúc &amp; Thái độ</v>
      </c>
    </row>
    <row r="150">
      <c r="A150">
        <v>149</v>
      </c>
      <c r="B150" t="str">
        <v>底</v>
      </c>
      <c r="D150" t="str">
        <v>dǐ</v>
      </c>
      <c r="E150" t="str">
        <f>IFERROR(__xludf.DUMMYFUNCTION("GOOGLETRANSLATE(B150,""zh"",""vi"")"),"kết thúc")</f>
        <v>kết thúc</v>
      </c>
      <c r="F150" t="str">
        <v>5. Đời sống sinh hoạt</v>
      </c>
    </row>
    <row r="151">
      <c r="A151">
        <v>150</v>
      </c>
      <c r="B151" t="str">
        <v>低</v>
      </c>
      <c r="D151" t="str">
        <v>dī</v>
      </c>
      <c r="E151" t="str">
        <f>IFERROR(__xludf.DUMMYFUNCTION("GOOGLETRANSLATE(B151,""zh"",""vi"")"),"Thấp")</f>
        <v>Thấp</v>
      </c>
      <c r="F151" t="str">
        <v>13. Miêu tả &amp; Đánh giá</v>
      </c>
    </row>
    <row r="152">
      <c r="A152">
        <v>151</v>
      </c>
      <c r="B152" t="str">
        <v>电动车</v>
      </c>
      <c r="D152" t="str">
        <v>diàndòngchē</v>
      </c>
      <c r="E152" t="str">
        <f>IFERROR(__xludf.DUMMYFUNCTION("GOOGLETRANSLATE(B152,""zh"",""vi"")"),"xe điện")</f>
        <v>xe điện</v>
      </c>
      <c r="F152" t="str">
        <v>6. Đồ vật &amp; Công cụ</v>
      </c>
    </row>
    <row r="153">
      <c r="A153">
        <v>152</v>
      </c>
      <c r="B153" t="str">
        <v>点名</v>
      </c>
      <c r="D153" t="str">
        <v>diǎnmíng</v>
      </c>
      <c r="E153" t="str">
        <f>IFERROR(__xludf.DUMMYFUNCTION("GOOGLETRANSLATE(B153,""zh"",""vi"")"),"Điểm danh")</f>
        <v>Điểm danh</v>
      </c>
      <c r="F153" t="str">
        <v>1. Con người &amp; Các mối quan hệ</v>
      </c>
    </row>
    <row r="154">
      <c r="A154">
        <v>153</v>
      </c>
      <c r="B154" t="str">
        <v>电视剧</v>
      </c>
      <c r="D154" t="str">
        <v>diànshìjù</v>
      </c>
      <c r="E154" t="str">
        <f>IFERROR(__xludf.DUMMYFUNCTION("GOOGLETRANSLATE(B154,""zh"",""vi"")"),"phim truyền hình")</f>
        <v>phim truyền hình</v>
      </c>
      <c r="F154" t="str">
        <v>5. Đời sống sinh hoạt</v>
      </c>
    </row>
    <row r="155">
      <c r="A155">
        <v>154</v>
      </c>
      <c r="B155" t="str">
        <v>点头</v>
      </c>
      <c r="D155" t="str">
        <v>diǎntóu</v>
      </c>
      <c r="E155" t="str">
        <f>IFERROR(__xludf.DUMMYFUNCTION("GOOGLETRANSLATE(B155,""zh"",""vi"")"),"gật đầu")</f>
        <v>gật đầu</v>
      </c>
      <c r="F155" t="str">
        <v>2. Cơ thể &amp; Sức khỏe</v>
      </c>
    </row>
    <row r="156">
      <c r="A156">
        <v>155</v>
      </c>
      <c r="B156" t="str">
        <v>掉</v>
      </c>
      <c r="D156" t="str">
        <v>diào</v>
      </c>
      <c r="E156" t="str">
        <f>IFERROR(__xludf.DUMMYFUNCTION("GOOGLETRANSLATE(B156,""zh"",""vi"")"),"Thua")</f>
        <v>Thua</v>
      </c>
      <c r="F156" t="str">
        <v>10. Thời gian</v>
      </c>
    </row>
    <row r="157">
      <c r="A157">
        <v>156</v>
      </c>
      <c r="B157" t="str">
        <v>调查</v>
      </c>
      <c r="D157" t="str">
        <v>diàochá</v>
      </c>
      <c r="E157" t="str">
        <f>IFERROR(__xludf.DUMMYFUNCTION("GOOGLETRANSLATE(B157,""zh"",""vi"")"),"cuộc điều tra")</f>
        <v>cuộc điều tra</v>
      </c>
      <c r="F157" t="str">
        <v>8. Giao thông &amp; Di chuyển</v>
      </c>
    </row>
    <row r="158">
      <c r="A158">
        <v>157</v>
      </c>
      <c r="B158" t="str">
        <v>低价</v>
      </c>
      <c r="D158" t="str">
        <v>dījià</v>
      </c>
      <c r="E158" t="str">
        <f>IFERROR(__xludf.DUMMYFUNCTION("GOOGLETRANSLATE(B158,""zh"",""vi"")"),"giá thấp")</f>
        <v>giá thấp</v>
      </c>
      <c r="F158" t="str">
        <v>13. Miêu tả &amp; Đánh giá</v>
      </c>
    </row>
    <row r="159">
      <c r="A159">
        <v>158</v>
      </c>
      <c r="B159" t="str">
        <v>订</v>
      </c>
      <c r="D159" t="str">
        <v>dìng</v>
      </c>
      <c r="E159" t="str">
        <f>IFERROR(__xludf.DUMMYFUNCTION("GOOGLETRANSLATE(B159,""zh"",""vi"")"),"đặt hàng")</f>
        <v>đặt hàng</v>
      </c>
      <c r="F159" t="str">
        <v>5. Đời sống sinh hoạt</v>
      </c>
    </row>
    <row r="160">
      <c r="A160">
        <v>159</v>
      </c>
      <c r="B160" t="str">
        <v>定</v>
      </c>
      <c r="D160" t="str">
        <v>dìng</v>
      </c>
      <c r="E160" t="str">
        <f>IFERROR(__xludf.DUMMYFUNCTION("GOOGLETRANSLATE(B160,""zh"",""vi"")"),"Chắc chắn")</f>
        <v>Chắc chắn</v>
      </c>
      <c r="F160" t="str">
        <v>5. Đời sống sinh hoạt</v>
      </c>
    </row>
    <row r="161">
      <c r="A161">
        <v>160</v>
      </c>
      <c r="B161" t="str">
        <v>地球</v>
      </c>
      <c r="D161" t="str">
        <v>dìqiú</v>
      </c>
      <c r="E161" t="str">
        <f>IFERROR(__xludf.DUMMYFUNCTION("GOOGLETRANSLATE(B161,""zh"",""vi"")"),"Trái đất")</f>
        <v>Trái đất</v>
      </c>
      <c r="F161" t="str">
        <v>5. Đời sống sinh hoạt</v>
      </c>
    </row>
    <row r="162">
      <c r="A162">
        <v>161</v>
      </c>
      <c r="B162" t="str">
        <v>低温</v>
      </c>
      <c r="D162" t="str">
        <v>dīwēn</v>
      </c>
      <c r="E162" t="str">
        <f>IFERROR(__xludf.DUMMYFUNCTION("GOOGLETRANSLATE(B162,""zh"",""vi"")"),"Nhiệt độ thấp")</f>
        <v>Nhiệt độ thấp</v>
      </c>
      <c r="F162" t="str">
        <v>13. Miêu tả &amp; Đánh giá</v>
      </c>
    </row>
    <row r="163">
      <c r="A163">
        <v>162</v>
      </c>
      <c r="B163" t="str">
        <v>底下</v>
      </c>
      <c r="D163" t="str">
        <v>dǐxia</v>
      </c>
      <c r="E163" t="str">
        <f>IFERROR(__xludf.DUMMYFUNCTION("GOOGLETRANSLATE(B163,""zh"",""vi"")"),"dưới")</f>
        <v>dưới</v>
      </c>
      <c r="F163" t="str">
        <v>9. Không gian &amp; Vị trí</v>
      </c>
    </row>
    <row r="164">
      <c r="A164">
        <v>163</v>
      </c>
      <c r="B164" t="str">
        <v>低于</v>
      </c>
      <c r="D164" t="str">
        <v>dīyú</v>
      </c>
      <c r="E164" t="str">
        <f>IFERROR(__xludf.DUMMYFUNCTION("GOOGLETRANSLATE(B164,""zh"",""vi"")"),"Dưới")</f>
        <v>Dưới</v>
      </c>
      <c r="F164" t="str">
        <v>9. Không gian &amp; Vị trí</v>
      </c>
    </row>
    <row r="165">
      <c r="A165">
        <v>164</v>
      </c>
      <c r="B165" t="str">
        <v>地址</v>
      </c>
      <c r="D165" t="str">
        <v>dìzhǐ</v>
      </c>
      <c r="E165" t="str">
        <f>IFERROR(__xludf.DUMMYFUNCTION("GOOGLETRANSLATE(B165,""zh"",""vi"")"),"Địa chỉ")</f>
        <v>Địa chỉ</v>
      </c>
      <c r="F165" t="str">
        <v>7. Địa điểm &amp; Nơi chốn</v>
      </c>
    </row>
    <row r="166">
      <c r="A166">
        <v>165</v>
      </c>
      <c r="B166" t="str">
        <v>东部</v>
      </c>
      <c r="D166" t="str">
        <v>dōngbù</v>
      </c>
      <c r="E166" t="str">
        <f>IFERROR(__xludf.DUMMYFUNCTION("GOOGLETRANSLATE(B166,""zh"",""vi"")"),"phía đông")</f>
        <v>phía đông</v>
      </c>
      <c r="F166" t="str">
        <v>10. Thời gian</v>
      </c>
    </row>
    <row r="167">
      <c r="A167">
        <v>166</v>
      </c>
      <c r="B167" t="str">
        <v>动车</v>
      </c>
      <c r="D167" t="str">
        <v>dòngchē</v>
      </c>
      <c r="E167" t="str">
        <f>IFERROR(__xludf.DUMMYFUNCTION("GOOGLETRANSLATE(B167,""zh"",""vi"")"),"tàu cao tốc")</f>
        <v>tàu cao tốc</v>
      </c>
      <c r="F167" t="str">
        <v>8. Giao thông &amp; Di chuyển</v>
      </c>
    </row>
    <row r="168">
      <c r="A168">
        <v>167</v>
      </c>
      <c r="B168" t="str">
        <v>动作</v>
      </c>
      <c r="D168" t="str">
        <v>dòngzuò</v>
      </c>
      <c r="E168" t="str">
        <f>IFERROR(__xludf.DUMMYFUNCTION("GOOGLETRANSLATE(B168,""zh"",""vi"")"),"hoạt động")</f>
        <v>hoạt động</v>
      </c>
      <c r="F168" t="str">
        <v>5. Đời sống sinh hoạt</v>
      </c>
    </row>
    <row r="169">
      <c r="A169">
        <v>168</v>
      </c>
      <c r="B169" t="str">
        <v>短信</v>
      </c>
      <c r="D169" t="str">
        <v>duǎnxìn</v>
      </c>
      <c r="E169" t="str">
        <f>IFERROR(__xludf.DUMMYFUNCTION("GOOGLETRANSLATE(B169,""zh"",""vi"")"),"Tin nhắn ngắn")</f>
        <v>Tin nhắn ngắn</v>
      </c>
      <c r="F169" t="str">
        <v>4. Tư duy &amp; Nhận thức</v>
      </c>
    </row>
    <row r="170">
      <c r="A170">
        <v>169</v>
      </c>
      <c r="B170" t="str">
        <v>堵车</v>
      </c>
      <c r="D170" t="str">
        <v>dǔchē</v>
      </c>
      <c r="E170" t="str">
        <f>IFERROR(__xludf.DUMMYFUNCTION("GOOGLETRANSLATE(B170,""zh"",""vi"")"),"Tắc đường")</f>
        <v>Tắc đường</v>
      </c>
      <c r="F170" t="str">
        <v>8. Giao thông &amp; Di chuyển</v>
      </c>
    </row>
    <row r="171">
      <c r="A171">
        <v>170</v>
      </c>
      <c r="B171" t="str">
        <v>队</v>
      </c>
      <c r="D171" t="str">
        <v>duì</v>
      </c>
      <c r="E171" t="str">
        <f>IFERROR(__xludf.DUMMYFUNCTION("GOOGLETRANSLATE(B171,""zh"",""vi"")"),"Đội")</f>
        <v>Đội</v>
      </c>
      <c r="F171" t="str">
        <v>5. Đời sống sinh hoạt</v>
      </c>
    </row>
    <row r="172">
      <c r="A172">
        <v>171</v>
      </c>
      <c r="B172" t="str">
        <v>对方</v>
      </c>
      <c r="D172" t="str">
        <v>duìfāng</v>
      </c>
      <c r="E172" t="str">
        <f>IFERROR(__xludf.DUMMYFUNCTION("GOOGLETRANSLATE(B172,""zh"",""vi"")"),"phía bên kia")</f>
        <v>phía bên kia</v>
      </c>
      <c r="F172" t="str">
        <v>9. Không gian &amp; Vị trí</v>
      </c>
    </row>
    <row r="173">
      <c r="A173">
        <v>172</v>
      </c>
      <c r="B173" t="str">
        <v>对面</v>
      </c>
      <c r="D173" t="str">
        <v>duìmiàn</v>
      </c>
      <c r="E173" t="str">
        <f>IFERROR(__xludf.DUMMYFUNCTION("GOOGLETRANSLATE(B173,""zh"",""vi"")"),"đối diện")</f>
        <v>đối diện</v>
      </c>
      <c r="F173" t="str">
        <v>5. Đời sống sinh hoạt</v>
      </c>
    </row>
    <row r="174">
      <c r="A174">
        <v>173</v>
      </c>
      <c r="B174" t="str">
        <v>对于</v>
      </c>
      <c r="D174" t="str">
        <v>duìyú</v>
      </c>
      <c r="E174" t="str">
        <f>IFERROR(__xludf.DUMMYFUNCTION("GOOGLETRANSLATE(B174,""zh"",""vi"")"),"vì")</f>
        <v>vì</v>
      </c>
      <c r="F174" t="str">
        <v>5. Đời sống sinh hoạt</v>
      </c>
    </row>
    <row r="175">
      <c r="A175">
        <v>174</v>
      </c>
      <c r="B175" t="str">
        <v>队员</v>
      </c>
      <c r="D175" t="str">
        <v>duìyuán</v>
      </c>
      <c r="E175" t="str">
        <f>IFERROR(__xludf.DUMMYFUNCTION("GOOGLETRANSLATE(B175,""zh"",""vi"")"),"Thành viên nhóm")</f>
        <v>Thành viên nhóm</v>
      </c>
      <c r="F175" t="str">
        <v>6. Đồ vật &amp; Công cụ</v>
      </c>
    </row>
    <row r="176">
      <c r="A176">
        <v>175</v>
      </c>
      <c r="B176" t="str">
        <v>队长</v>
      </c>
      <c r="D176" t="str">
        <v>duìzhǎng</v>
      </c>
      <c r="E176" t="str">
        <f>IFERROR(__xludf.DUMMYFUNCTION("GOOGLETRANSLATE(B176,""zh"",""vi"")"),"trưởng nhóm")</f>
        <v>trưởng nhóm</v>
      </c>
      <c r="F176" t="str">
        <v>5. Đời sống sinh hoạt</v>
      </c>
    </row>
    <row r="177">
      <c r="A177">
        <v>176</v>
      </c>
      <c r="B177" t="str">
        <v>度假</v>
      </c>
      <c r="D177" t="str">
        <v>dùjià</v>
      </c>
      <c r="E177" t="str">
        <f>IFERROR(__xludf.DUMMYFUNCTION("GOOGLETRANSLATE(B177,""zh"",""vi"")"),"kì nghỉ")</f>
        <v>kì nghỉ</v>
      </c>
      <c r="F177" t="str">
        <v>10. Thời gian</v>
      </c>
    </row>
    <row r="178">
      <c r="A178">
        <v>177</v>
      </c>
      <c r="B178" t="str">
        <v>顿</v>
      </c>
      <c r="D178" t="str">
        <v>dùn</v>
      </c>
      <c r="E178" t="str">
        <f>IFERROR(__xludf.DUMMYFUNCTION("GOOGLETRANSLATE(B178,""zh"",""vi"")"),"Dun")</f>
        <v>Dun</v>
      </c>
      <c r="F178" t="str">
        <v>5. Đời sống sinh hoạt</v>
      </c>
    </row>
    <row r="179">
      <c r="A179">
        <v>178</v>
      </c>
      <c r="B179" t="str">
        <v>多么</v>
      </c>
      <c r="D179" t="str">
        <v>duōme</v>
      </c>
      <c r="E179" t="str">
        <f>IFERROR(__xludf.DUMMYFUNCTION("GOOGLETRANSLATE(B179,""zh"",""vi"")"),"Làm sao")</f>
        <v>Làm sao</v>
      </c>
      <c r="F179" t="str">
        <v>5. Đời sống sinh hoạt</v>
      </c>
    </row>
    <row r="180">
      <c r="A180">
        <v>179</v>
      </c>
      <c r="B180" t="str">
        <v>多数</v>
      </c>
      <c r="D180" t="str">
        <v>duōshù</v>
      </c>
      <c r="E180" t="str">
        <f>IFERROR(__xludf.DUMMYFUNCTION("GOOGLETRANSLATE(B180,""zh"",""vi"")"),"hầu hết")</f>
        <v>hầu hết</v>
      </c>
      <c r="F180" t="str">
        <v>5. Đời sống sinh hoạt</v>
      </c>
    </row>
    <row r="181">
      <c r="A181">
        <v>180</v>
      </c>
      <c r="B181" t="str">
        <v>多样</v>
      </c>
      <c r="D181" t="str">
        <v>duōyàng</v>
      </c>
      <c r="E181" t="str">
        <f>IFERROR(__xludf.DUMMYFUNCTION("GOOGLETRANSLATE(B181,""zh"",""vi"")"),"Phong phú")</f>
        <v>Phong phú</v>
      </c>
      <c r="F181" t="str">
        <v>5. Đời sống sinh hoạt</v>
      </c>
    </row>
    <row r="182">
      <c r="A182">
        <v>181</v>
      </c>
      <c r="B182" t="str">
        <v>读者</v>
      </c>
      <c r="D182" t="str">
        <v>dúzhě</v>
      </c>
      <c r="E182" t="str">
        <f>IFERROR(__xludf.DUMMYFUNCTION("GOOGLETRANSLATE(B182,""zh"",""vi"")"),"người đọc")</f>
        <v>người đọc</v>
      </c>
      <c r="F182" t="str">
        <v>1. Con người &amp; Các mối quan hệ</v>
      </c>
    </row>
    <row r="183">
      <c r="A183">
        <v>182</v>
      </c>
      <c r="B183" t="str">
        <v>肚子</v>
      </c>
      <c r="D183" t="str">
        <v>dǔzi</v>
      </c>
      <c r="E183" t="str">
        <f>IFERROR(__xludf.DUMMYFUNCTION("GOOGLETRANSLATE(B183,""zh"",""vi"")"),"bụng")</f>
        <v>bụng</v>
      </c>
      <c r="F183" t="str">
        <v>5. Đời sống sinh hoạt</v>
      </c>
    </row>
    <row r="184">
      <c r="A184">
        <v>183</v>
      </c>
      <c r="B184" t="str">
        <v>而</v>
      </c>
      <c r="D184" t="str">
        <v>ér</v>
      </c>
      <c r="E184" t="str">
        <f>IFERROR(__xludf.DUMMYFUNCTION("GOOGLETRANSLATE(B184,""zh"",""vi"")"),"Và")</f>
        <v>Và</v>
      </c>
      <c r="F184" t="str">
        <v>5. Đời sống sinh hoạt</v>
      </c>
    </row>
    <row r="185">
      <c r="A185">
        <v>184</v>
      </c>
      <c r="B185" t="str">
        <v>儿童</v>
      </c>
      <c r="D185" t="str">
        <v>értóng</v>
      </c>
      <c r="E185" t="str">
        <f>IFERROR(__xludf.DUMMYFUNCTION("GOOGLETRANSLATE(B185,""zh"",""vi"")"),"đứa trẻ")</f>
        <v>đứa trẻ</v>
      </c>
      <c r="F185" t="str">
        <v>13. Miêu tả &amp; Đánh giá</v>
      </c>
    </row>
    <row r="186">
      <c r="A186">
        <v>185</v>
      </c>
      <c r="B186" t="str">
        <v>法</v>
      </c>
      <c r="D186" t="str">
        <v>fǎ</v>
      </c>
      <c r="E186" t="str">
        <f>IFERROR(__xludf.DUMMYFUNCTION("GOOGLETRANSLATE(B186,""zh"",""vi"")"),"Pháp luật")</f>
        <v>Pháp luật</v>
      </c>
      <c r="F186" t="str">
        <v>5. Đời sống sinh hoạt</v>
      </c>
    </row>
    <row r="187">
      <c r="A187">
        <v>186</v>
      </c>
      <c r="B187" t="str">
        <v>发出</v>
      </c>
      <c r="D187" t="str">
        <v>fāchū</v>
      </c>
      <c r="E187" t="str">
        <f>IFERROR(__xludf.DUMMYFUNCTION("GOOGLETRANSLATE(B187,""zh"",""vi"")"),"vấn đề")</f>
        <v>vấn đề</v>
      </c>
      <c r="F187" t="str">
        <v>4. Tư duy &amp; Nhận thức</v>
      </c>
    </row>
    <row r="188">
      <c r="A188">
        <v>187</v>
      </c>
      <c r="B188" t="str">
        <v>法律</v>
      </c>
      <c r="D188" t="str">
        <v>fǎlǜ</v>
      </c>
      <c r="E188" t="str">
        <f>IFERROR(__xludf.DUMMYFUNCTION("GOOGLETRANSLATE(B188,""zh"",""vi"")"),"pháp luật")</f>
        <v>pháp luật</v>
      </c>
      <c r="F188" t="str">
        <v>5. Đời sống sinh hoạt</v>
      </c>
    </row>
    <row r="189">
      <c r="A189">
        <v>188</v>
      </c>
      <c r="B189" t="str">
        <v>烦</v>
      </c>
      <c r="D189" t="str">
        <v>fán</v>
      </c>
      <c r="E189" t="str">
        <f>IFERROR(__xludf.DUMMYFUNCTION("GOOGLETRANSLATE(B189,""zh"",""vi"")"),"làm phiền")</f>
        <v>làm phiền</v>
      </c>
      <c r="F189" t="str">
        <v>5. Đời sống sinh hoạt</v>
      </c>
    </row>
    <row r="190">
      <c r="A190">
        <v>189</v>
      </c>
      <c r="B190" t="str">
        <v>反对</v>
      </c>
      <c r="D190" t="str">
        <v>fǎnduì</v>
      </c>
      <c r="E190" t="str">
        <f>IFERROR(__xludf.DUMMYFUNCTION("GOOGLETRANSLATE(B190,""zh"",""vi"")"),"phản đối")</f>
        <v>phản đối</v>
      </c>
      <c r="F190" t="str">
        <v>5. Đời sống sinh hoạt</v>
      </c>
    </row>
    <row r="191">
      <c r="A191">
        <v>190</v>
      </c>
      <c r="B191" t="str">
        <v>房东</v>
      </c>
      <c r="D191" t="str">
        <v>fángdōng</v>
      </c>
      <c r="E191" t="str">
        <f>IFERROR(__xludf.DUMMYFUNCTION("GOOGLETRANSLATE(B191,""zh"",""vi"")"),"chủ nhà")</f>
        <v>chủ nhà</v>
      </c>
      <c r="F191" t="str">
        <v>7. Địa điểm &amp; Nơi chốn</v>
      </c>
    </row>
    <row r="192">
      <c r="A192">
        <v>191</v>
      </c>
      <c r="B192" t="str">
        <v>方面</v>
      </c>
      <c r="D192" t="str">
        <v>fāngmiàn</v>
      </c>
      <c r="E192" t="str">
        <f>IFERROR(__xludf.DUMMYFUNCTION("GOOGLETRANSLATE(B192,""zh"",""vi"")"),"diện mạo")</f>
        <v>diện mạo</v>
      </c>
      <c r="F192" t="str">
        <v>5. Đời sống sinh hoạt</v>
      </c>
    </row>
    <row r="193">
      <c r="A193">
        <v>192</v>
      </c>
      <c r="B193" t="str">
        <v>放弃</v>
      </c>
      <c r="D193" t="str">
        <v>fàngqì</v>
      </c>
      <c r="E193" t="str">
        <f>IFERROR(__xludf.DUMMYFUNCTION("GOOGLETRANSLATE(B193,""zh"",""vi"")"),"bỏ cuộc")</f>
        <v>bỏ cuộc</v>
      </c>
      <c r="F193" t="str">
        <v>5. Đời sống sinh hoạt</v>
      </c>
    </row>
    <row r="194">
      <c r="A194">
        <v>193</v>
      </c>
      <c r="B194" t="str">
        <v>方式</v>
      </c>
      <c r="D194" t="str">
        <v>fāngshì</v>
      </c>
      <c r="E194" t="str">
        <f>IFERROR(__xludf.DUMMYFUNCTION("GOOGLETRANSLATE(B194,""zh"",""vi"")"),"Đường")</f>
        <v>Đường</v>
      </c>
      <c r="F194" t="str">
        <v>8. Giao thông &amp; Di chuyển</v>
      </c>
    </row>
    <row r="195">
      <c r="A195">
        <v>194</v>
      </c>
      <c r="B195" t="str">
        <v>放松</v>
      </c>
      <c r="D195" t="str">
        <v>fàngsōng</v>
      </c>
      <c r="E195" t="str">
        <f>IFERROR(__xludf.DUMMYFUNCTION("GOOGLETRANSLATE(B195,""zh"",""vi"")"),"Thư giãn")</f>
        <v>Thư giãn</v>
      </c>
      <c r="F195" t="str">
        <v>5. Đời sống sinh hoạt</v>
      </c>
    </row>
    <row r="196">
      <c r="A196">
        <v>195</v>
      </c>
      <c r="B196" t="str">
        <v>房租</v>
      </c>
      <c r="D196" t="str">
        <v>fángzū</v>
      </c>
      <c r="E196" t="str">
        <f>IFERROR(__xludf.DUMMYFUNCTION("GOOGLETRANSLATE(B196,""zh"",""vi"")"),"thuê")</f>
        <v>thuê</v>
      </c>
      <c r="F196" t="str">
        <v>10. Thời gian</v>
      </c>
    </row>
    <row r="197">
      <c r="A197">
        <v>196</v>
      </c>
      <c r="B197" t="str">
        <v>烦恼</v>
      </c>
      <c r="D197" t="str">
        <v>fánnǎo</v>
      </c>
      <c r="E197" t="str">
        <f>IFERROR(__xludf.DUMMYFUNCTION("GOOGLETRANSLATE(B197,""zh"",""vi"")"),"rắc rối")</f>
        <v>rắc rối</v>
      </c>
      <c r="F197" t="str">
        <v>5. Đời sống sinh hoạt</v>
      </c>
    </row>
    <row r="198">
      <c r="A198">
        <v>197</v>
      </c>
      <c r="B198" t="str">
        <v>翻译</v>
      </c>
      <c r="D198" t="str">
        <v>fānyì</v>
      </c>
      <c r="E198" t="str">
        <f>IFERROR(__xludf.DUMMYFUNCTION("GOOGLETRANSLATE(B198,""zh"",""vi"")"),"dịch")</f>
        <v>dịch</v>
      </c>
      <c r="F198" t="str">
        <v>4. Tư duy &amp; Nhận thức</v>
      </c>
    </row>
    <row r="199">
      <c r="A199">
        <v>198</v>
      </c>
      <c r="B199" t="str">
        <v>发送</v>
      </c>
      <c r="D199" t="str">
        <v>fāsòng</v>
      </c>
      <c r="E199" t="str">
        <f>IFERROR(__xludf.DUMMYFUNCTION("GOOGLETRANSLATE(B199,""zh"",""vi"")"),"gửi")</f>
        <v>gửi</v>
      </c>
      <c r="F199" t="str">
        <v>5. Đời sống sinh hoạt</v>
      </c>
    </row>
    <row r="200">
      <c r="A200">
        <v>199</v>
      </c>
      <c r="B200" t="str">
        <v>费</v>
      </c>
      <c r="D200" t="str">
        <v>fèi</v>
      </c>
      <c r="E200" t="str">
        <f>IFERROR(__xludf.DUMMYFUNCTION("GOOGLETRANSLATE(B200,""zh"",""vi"")"),"phí")</f>
        <v>phí</v>
      </c>
      <c r="F200" t="str">
        <v>5. Đời sống sinh hoạt</v>
      </c>
    </row>
    <row r="201">
      <c r="A201">
        <v>200</v>
      </c>
      <c r="B201" t="str">
        <v>费用</v>
      </c>
      <c r="D201" t="str">
        <v>fèiyong</v>
      </c>
      <c r="E201" t="str">
        <f>IFERROR(__xludf.DUMMYFUNCTION("GOOGLETRANSLATE(B201,""zh"",""vi"")"),"trị giá")</f>
        <v>trị giá</v>
      </c>
      <c r="F201" t="str">
        <v>5. Đời sống sinh hoạt</v>
      </c>
    </row>
    <row r="202">
      <c r="A202">
        <v>201</v>
      </c>
      <c r="B202" t="str">
        <v>份</v>
      </c>
      <c r="D202" t="str">
        <v>fèn</v>
      </c>
      <c r="E202" t="str">
        <f>IFERROR(__xludf.DUMMYFUNCTION("GOOGLETRANSLATE(B202,""zh"",""vi"")"),"chia sẻ")</f>
        <v>chia sẻ</v>
      </c>
      <c r="F202" t="str">
        <v>5. Đời sống sinh hoạt</v>
      </c>
    </row>
    <row r="203">
      <c r="A203">
        <v>202</v>
      </c>
      <c r="B203" t="str">
        <v>丰富</v>
      </c>
      <c r="D203" t="str">
        <v>fēngfù</v>
      </c>
      <c r="E203" t="str">
        <f>IFERROR(__xludf.DUMMYFUNCTION("GOOGLETRANSLATE(B203,""zh"",""vi"")"),"Giàu có")</f>
        <v>Giàu có</v>
      </c>
      <c r="F203" t="str">
        <v>5. Đời sống sinh hoạt</v>
      </c>
    </row>
    <row r="204">
      <c r="A204">
        <v>203</v>
      </c>
      <c r="B204" t="str">
        <v>风景</v>
      </c>
      <c r="D204" t="str">
        <v>fēngjǐng</v>
      </c>
      <c r="E204" t="str">
        <f>IFERROR(__xludf.DUMMYFUNCTION("GOOGLETRANSLATE(B204,""zh"",""vi"")"),"phong cảnh")</f>
        <v>phong cảnh</v>
      </c>
      <c r="F204" t="str">
        <v>6. Đồ vật &amp; Công cụ</v>
      </c>
    </row>
    <row r="205">
      <c r="A205">
        <v>204</v>
      </c>
      <c r="B205" t="str">
        <v>分数</v>
      </c>
      <c r="D205" t="e">
        <f>pinyin(B205)</f>
        <v>#NAME?</v>
      </c>
      <c r="E205" t="str">
        <f>IFERROR(__xludf.DUMMYFUNCTION("GOOGLETRANSLATE(B205,""zh"",""vi"")"),"Phân số")</f>
        <v>Phân số</v>
      </c>
      <c r="F205" t="str">
        <v>14. Số lượng &amp; Đo lường</v>
      </c>
    </row>
    <row r="206">
      <c r="A206">
        <v>205</v>
      </c>
      <c r="B206" t="str">
        <v>分为</v>
      </c>
      <c r="D206" t="e">
        <f>pinyin(B206)</f>
        <v>#NAME?</v>
      </c>
      <c r="E206" t="str">
        <f>IFERROR(__xludf.DUMMYFUNCTION("GOOGLETRANSLATE(B206,""zh"",""vi"")"),"Chia thành")</f>
        <v>Chia thành</v>
      </c>
      <c r="F206" t="str">
        <v>5. Đời sống sinh hoạt</v>
      </c>
    </row>
    <row r="207">
      <c r="A207">
        <v>206</v>
      </c>
      <c r="B207" t="str">
        <v>否则</v>
      </c>
      <c r="D207" t="e">
        <f>pinyin(B207)</f>
        <v>#NAME?</v>
      </c>
      <c r="E207" t="str">
        <f>IFERROR(__xludf.DUMMYFUNCTION("GOOGLETRANSLATE(B207,""zh"",""vi"")"),"nếu không thì")</f>
        <v>nếu không thì</v>
      </c>
      <c r="F207" t="str">
        <v>1. Con người &amp; Các mối quan hệ</v>
      </c>
    </row>
    <row r="208">
      <c r="A208">
        <v>207</v>
      </c>
      <c r="B208" t="str">
        <v>幅</v>
      </c>
      <c r="D208" t="e">
        <f>pinyin(B208)</f>
        <v>#NAME?</v>
      </c>
      <c r="E208" t="str">
        <f>IFERROR(__xludf.DUMMYFUNCTION("GOOGLETRANSLATE(B208,""zh"",""vi"")"),"khung")</f>
        <v>khung</v>
      </c>
      <c r="F208" t="str">
        <v>5. Đời sống sinh hoạt</v>
      </c>
    </row>
    <row r="209">
      <c r="A209">
        <v>208</v>
      </c>
      <c r="B209" t="str">
        <v>付</v>
      </c>
      <c r="D209" t="e">
        <f>pinyin(B209)</f>
        <v>#NAME?</v>
      </c>
      <c r="E209" t="str">
        <f>IFERROR(__xludf.DUMMYFUNCTION("GOOGLETRANSLATE(B209,""zh"",""vi"")"),"chi trả")</f>
        <v>chi trả</v>
      </c>
      <c r="F209" t="str">
        <v>5. Đời sống sinh hoạt</v>
      </c>
    </row>
    <row r="210">
      <c r="A210">
        <v>209</v>
      </c>
      <c r="B210" t="str">
        <v>符合</v>
      </c>
      <c r="D210" t="e">
        <f>pinyin(B210)</f>
        <v>#NAME?</v>
      </c>
      <c r="E210" t="str">
        <f>IFERROR(__xludf.DUMMYFUNCTION("GOOGLETRANSLATE(B210,""zh"",""vi"")"),"tuân theo")</f>
        <v>tuân theo</v>
      </c>
      <c r="F210" t="str">
        <v>5. Đời sống sinh hoạt</v>
      </c>
    </row>
    <row r="211">
      <c r="A211">
        <v>210</v>
      </c>
      <c r="B211" t="str">
        <v>父母</v>
      </c>
      <c r="D211" t="e">
        <f>pinyin(B211)</f>
        <v>#NAME?</v>
      </c>
      <c r="E211" t="str">
        <f>IFERROR(__xludf.DUMMYFUNCTION("GOOGLETRANSLATE(B211,""zh"",""vi"")"),"cha mẹ")</f>
        <v>cha mẹ</v>
      </c>
      <c r="F211" t="str">
        <v>1. Con người &amp; Các mối quan hệ</v>
      </c>
    </row>
    <row r="212">
      <c r="A212">
        <v>211</v>
      </c>
      <c r="B212" t="str">
        <v>父女</v>
      </c>
      <c r="D212" t="e">
        <f>pinyin(B212)</f>
        <v>#NAME?</v>
      </c>
      <c r="E212" t="str">
        <f>IFERROR(__xludf.DUMMYFUNCTION("GOOGLETRANSLATE(B212,""zh"",""vi"")"),"Cha và con gái")</f>
        <v>Cha và con gái</v>
      </c>
      <c r="F212" t="str">
        <v>1. Con người &amp; Các mối quan hệ</v>
      </c>
    </row>
    <row r="213">
      <c r="A213">
        <v>212</v>
      </c>
      <c r="B213" t="str">
        <v>父亲</v>
      </c>
      <c r="D213" t="e">
        <f>pinyin(B213)</f>
        <v>#NAME?</v>
      </c>
      <c r="E213" t="str">
        <f>IFERROR(__xludf.DUMMYFUNCTION("GOOGLETRANSLATE(B213,""zh"",""vi"")"),"Bố")</f>
        <v>Bố</v>
      </c>
      <c r="F213" t="str">
        <v>5. Đời sống sinh hoạt</v>
      </c>
    </row>
    <row r="214">
      <c r="A214">
        <v>213</v>
      </c>
      <c r="B214" t="str">
        <v>复印</v>
      </c>
      <c r="D214" t="e">
        <f>pinyin(B214)</f>
        <v>#NAME?</v>
      </c>
      <c r="E214" t="str">
        <f>IFERROR(__xludf.DUMMYFUNCTION("GOOGLETRANSLATE(B214,""zh"",""vi"")"),"bản sao")</f>
        <v>bản sao</v>
      </c>
      <c r="F214" t="str">
        <v>5. Đời sống sinh hoạt</v>
      </c>
    </row>
    <row r="215">
      <c r="A215">
        <v>214</v>
      </c>
      <c r="B215" t="str">
        <v>复杂</v>
      </c>
      <c r="D215" t="e">
        <f>pinyin(B215)</f>
        <v>#NAME?</v>
      </c>
      <c r="E215" t="str">
        <f>IFERROR(__xludf.DUMMYFUNCTION("GOOGLETRANSLATE(B215,""zh"",""vi"")"),"tổ hợp")</f>
        <v>tổ hợp</v>
      </c>
      <c r="F215" t="str">
        <v>5. Đời sống sinh hoạt</v>
      </c>
    </row>
    <row r="216">
      <c r="A216">
        <v>215</v>
      </c>
      <c r="B216" t="str">
        <v>负责</v>
      </c>
      <c r="D216" t="e">
        <f>pinyin(B216)</f>
        <v>#NAME?</v>
      </c>
      <c r="E216" t="str">
        <f>IFERROR(__xludf.DUMMYFUNCTION("GOOGLETRANSLATE(B216,""zh"",""vi"")"),"Chịu trách nhiệm")</f>
        <v>Chịu trách nhiệm</v>
      </c>
      <c r="F216" t="str">
        <v>1. Con người &amp; Các mối quan hệ</v>
      </c>
    </row>
    <row r="217">
      <c r="A217">
        <v>216</v>
      </c>
      <c r="B217" t="str">
        <v>负责人</v>
      </c>
      <c r="D217" t="e">
        <f>pinyin(B217)</f>
        <v>#NAME?</v>
      </c>
      <c r="E217" t="str">
        <f>IFERROR(__xludf.DUMMYFUNCTION("GOOGLETRANSLATE(B217,""zh"",""vi"")"),"người phụ trách")</f>
        <v>người phụ trách</v>
      </c>
      <c r="F217" t="str">
        <v>1. Con người &amp; Các mối quan hệ</v>
      </c>
    </row>
    <row r="218">
      <c r="A218">
        <v>217</v>
      </c>
      <c r="B218" t="str">
        <v>父子</v>
      </c>
      <c r="D218" t="e">
        <f>pinyin(B218)</f>
        <v>#NAME?</v>
      </c>
      <c r="E218" t="str">
        <f>IFERROR(__xludf.DUMMYFUNCTION("GOOGLETRANSLATE(B218,""zh"",""vi"")"),"Cha và con trai")</f>
        <v>Cha và con trai</v>
      </c>
      <c r="F218" t="str">
        <v>1. Con người &amp; Các mối quan hệ</v>
      </c>
    </row>
    <row r="219">
      <c r="A219">
        <v>218</v>
      </c>
      <c r="B219" t="str">
        <v>改</v>
      </c>
      <c r="D219" t="e">
        <f>pinyin(B219)</f>
        <v>#NAME?</v>
      </c>
      <c r="E219" t="str">
        <f>IFERROR(__xludf.DUMMYFUNCTION("GOOGLETRANSLATE(B219,""zh"",""vi"")"),"thay đổi")</f>
        <v>thay đổi</v>
      </c>
      <c r="F219" t="str">
        <v>5. Đời sống sinh hoạt</v>
      </c>
    </row>
    <row r="220">
      <c r="A220">
        <v>219</v>
      </c>
      <c r="B220" t="str">
        <v>改变</v>
      </c>
      <c r="D220" t="e">
        <f>pinyin(B220)</f>
        <v>#NAME?</v>
      </c>
      <c r="E220" t="str">
        <f>IFERROR(__xludf.DUMMYFUNCTION("GOOGLETRANSLATE(B220,""zh"",""vi"")"),"Thay đổi")</f>
        <v>Thay đổi</v>
      </c>
      <c r="F220" t="str">
        <v>5. Đời sống sinh hoạt</v>
      </c>
    </row>
    <row r="221">
      <c r="A221">
        <v>220</v>
      </c>
      <c r="B221" t="str">
        <v>赶</v>
      </c>
      <c r="D221" t="e">
        <f>pinyin(B221)</f>
        <v>#NAME?</v>
      </c>
      <c r="E221" t="str">
        <f>IFERROR(__xludf.DUMMYFUNCTION("GOOGLETRANSLATE(B221,""zh"",""vi"")"),"cây bấc")</f>
        <v>cây bấc</v>
      </c>
      <c r="F221" t="str">
        <v>16. Tự nhiên</v>
      </c>
    </row>
    <row r="222">
      <c r="A222">
        <v>221</v>
      </c>
      <c r="B222" t="str">
        <v>敢</v>
      </c>
      <c r="D222" t="e">
        <f>pinyin(B222)</f>
        <v>#NAME?</v>
      </c>
      <c r="E222" t="str">
        <f>IFERROR(__xludf.DUMMYFUNCTION("GOOGLETRANSLATE(B222,""zh"",""vi"")"),"dám")</f>
        <v>dám</v>
      </c>
      <c r="F222" t="str">
        <v>5. Đời sống sinh hoạt</v>
      </c>
    </row>
    <row r="223">
      <c r="A223">
        <v>222</v>
      </c>
      <c r="B223" t="str">
        <v>感</v>
      </c>
      <c r="D223" t="e">
        <f>pinyin(B223)</f>
        <v>#NAME?</v>
      </c>
      <c r="E223" t="str">
        <f>IFERROR(__xludf.DUMMYFUNCTION("GOOGLETRANSLATE(B223,""zh"",""vi"")"),"cảm thấy")</f>
        <v>cảm thấy</v>
      </c>
      <c r="F223" t="str">
        <v>2. Cơ thể &amp; Sức khỏe</v>
      </c>
    </row>
    <row r="224">
      <c r="A224">
        <v>223</v>
      </c>
      <c r="B224" t="str">
        <v>干</v>
      </c>
      <c r="D224" t="e">
        <f>pinyin(B224)</f>
        <v>#NAME?</v>
      </c>
      <c r="E224" t="str">
        <f>IFERROR(__xludf.DUMMYFUNCTION("GOOGLETRANSLATE(B224,""zh"",""vi"")"),"Khô")</f>
        <v>Khô</v>
      </c>
      <c r="F224" t="str">
        <v>5. Đời sống sinh hoạt</v>
      </c>
    </row>
    <row r="225">
      <c r="A225">
        <v>224</v>
      </c>
      <c r="B225" t="str">
        <v>干杯</v>
      </c>
      <c r="D225" t="e">
        <f>pinyin(B225)</f>
        <v>#NAME?</v>
      </c>
      <c r="E225" t="str">
        <f>IFERROR(__xludf.DUMMYFUNCTION("GOOGLETRANSLATE(B225,""zh"",""vi"")"),"Chúc mừng!")</f>
        <v>Chúc mừng!</v>
      </c>
      <c r="F225" t="str">
        <v>1. Con người &amp; Các mối quan hệ</v>
      </c>
    </row>
    <row r="226">
      <c r="A226">
        <v>225</v>
      </c>
      <c r="B226" t="str">
        <v>感动</v>
      </c>
      <c r="D226" t="e">
        <f>pinyin(B226)</f>
        <v>#NAME?</v>
      </c>
      <c r="E226" t="str">
        <f>IFERROR(__xludf.DUMMYFUNCTION("GOOGLETRANSLATE(B226,""zh"",""vi"")"),"di chuyển")</f>
        <v>di chuyển</v>
      </c>
      <c r="F226" t="str">
        <v>5. Đời sống sinh hoạt</v>
      </c>
    </row>
    <row r="227">
      <c r="A227">
        <v>226</v>
      </c>
      <c r="B227" t="str">
        <v>钢琴</v>
      </c>
      <c r="D227" t="e">
        <f>pinyin(B227)</f>
        <v>#NAME?</v>
      </c>
      <c r="E227" t="str">
        <f>IFERROR(__xludf.DUMMYFUNCTION("GOOGLETRANSLATE(B227,""zh"",""vi"")"),"đàn piano")</f>
        <v>đàn piano</v>
      </c>
      <c r="F227" t="str">
        <v>5. Đời sống sinh hoạt</v>
      </c>
    </row>
    <row r="228">
      <c r="A228">
        <v>227</v>
      </c>
      <c r="B228" t="str">
        <v>干活儿</v>
      </c>
      <c r="D228" t="e">
        <f>pinyin(B228)</f>
        <v>#NAME?</v>
      </c>
      <c r="E228" t="str">
        <f>IFERROR(__xludf.DUMMYFUNCTION("GOOGLETRANSLATE(B228,""zh"",""vi"")"),"công việc")</f>
        <v>công việc</v>
      </c>
      <c r="F228" t="str">
        <v>1. Con người &amp; Các mối quan hệ</v>
      </c>
    </row>
    <row r="229">
      <c r="A229">
        <v>228</v>
      </c>
      <c r="B229" t="str">
        <v>赶紧</v>
      </c>
      <c r="D229" t="e">
        <f>pinyin(B229)</f>
        <v>#NAME?</v>
      </c>
      <c r="E229" t="str">
        <f>IFERROR(__xludf.DUMMYFUNCTION("GOOGLETRANSLATE(B229,""zh"",""vi"")"),"Sự vội vàng")</f>
        <v>Sự vội vàng</v>
      </c>
      <c r="F229" t="str">
        <v>13. Miêu tả &amp; Đánh giá</v>
      </c>
    </row>
    <row r="230">
      <c r="A230">
        <v>229</v>
      </c>
      <c r="B230" t="str">
        <v>感觉</v>
      </c>
      <c r="D230" t="e">
        <f>pinyin(B230)</f>
        <v>#NAME?</v>
      </c>
      <c r="E230" t="str">
        <f>IFERROR(__xludf.DUMMYFUNCTION("GOOGLETRANSLATE(B230,""zh"",""vi"")"),"Cảm thấy")</f>
        <v>Cảm thấy</v>
      </c>
      <c r="F230" t="str">
        <v>2. Cơ thể &amp; Sức khỏe</v>
      </c>
    </row>
    <row r="231">
      <c r="A231">
        <v>230</v>
      </c>
      <c r="B231" t="str">
        <v>赶快</v>
      </c>
      <c r="D231" t="e">
        <f>pinyin(B231)</f>
        <v>#NAME?</v>
      </c>
      <c r="E231" t="str">
        <f>IFERROR(__xludf.DUMMYFUNCTION("GOOGLETRANSLATE(B231,""zh"",""vi"")"),"nhanh lên")</f>
        <v>nhanh lên</v>
      </c>
      <c r="F231" t="str">
        <v>1. Con người &amp; Các mối quan hệ</v>
      </c>
    </row>
    <row r="232">
      <c r="A232">
        <v>231</v>
      </c>
      <c r="B232" t="str">
        <v>感情</v>
      </c>
      <c r="D232" t="e">
        <f>pinyin(B232)</f>
        <v>#NAME?</v>
      </c>
      <c r="E232" t="str">
        <f>IFERROR(__xludf.DUMMYFUNCTION("GOOGLETRANSLATE(B232,""zh"",""vi"")"),"cảm xúc")</f>
        <v>cảm xúc</v>
      </c>
      <c r="F232" t="str">
        <v>2. Cơ thể &amp; Sức khỏe</v>
      </c>
    </row>
    <row r="233">
      <c r="A233">
        <v>232</v>
      </c>
      <c r="B233" t="str">
        <v>感人</v>
      </c>
      <c r="D233" t="e">
        <f>pinyin(B233)</f>
        <v>#NAME?</v>
      </c>
      <c r="E233" t="str">
        <f>IFERROR(__xludf.DUMMYFUNCTION("GOOGLETRANSLATE(B233,""zh"",""vi"")"),"Cảm động")</f>
        <v>Cảm động</v>
      </c>
      <c r="F233" t="str">
        <v>2. Cơ thể &amp; Sức khỏe</v>
      </c>
    </row>
    <row r="234">
      <c r="A234">
        <v>233</v>
      </c>
      <c r="B234" t="str">
        <v>赶上</v>
      </c>
      <c r="D234" t="e">
        <f>pinyin(B234)</f>
        <v>#NAME?</v>
      </c>
      <c r="E234" t="str">
        <f>IFERROR(__xludf.DUMMYFUNCTION("GOOGLETRANSLATE(B234,""zh"",""vi"")"),"bắt kịp")</f>
        <v>bắt kịp</v>
      </c>
      <c r="F234" t="str">
        <v>5. Đời sống sinh hoạt</v>
      </c>
    </row>
    <row r="235">
      <c r="A235">
        <v>234</v>
      </c>
      <c r="B235" t="str">
        <v>感受</v>
      </c>
      <c r="D235" t="e">
        <f>pinyin(B235)</f>
        <v>#NAME?</v>
      </c>
      <c r="E235" t="str">
        <f>IFERROR(__xludf.DUMMYFUNCTION("GOOGLETRANSLATE(B235,""zh"",""vi"")"),"Cảm giác")</f>
        <v>Cảm giác</v>
      </c>
      <c r="F235" t="str">
        <v>2. Cơ thể &amp; Sức khỏe</v>
      </c>
    </row>
    <row r="236">
      <c r="A236">
        <v>235</v>
      </c>
      <c r="B236" t="str">
        <v>感谢</v>
      </c>
      <c r="D236" t="e">
        <f>pinyin(B236)</f>
        <v>#NAME?</v>
      </c>
      <c r="E236" t="str">
        <f>IFERROR(__xludf.DUMMYFUNCTION("GOOGLETRANSLATE(B236,""zh"",""vi"")"),"tri ân")</f>
        <v>tri ân</v>
      </c>
      <c r="F236" t="str">
        <v>5. Đời sống sinh hoạt</v>
      </c>
    </row>
    <row r="237">
      <c r="A237">
        <v>236</v>
      </c>
      <c r="B237" t="str">
        <v>高价</v>
      </c>
      <c r="D237" t="e">
        <f>pinyin(B237)</f>
        <v>#NAME?</v>
      </c>
      <c r="E237" t="str">
        <f>IFERROR(__xludf.DUMMYFUNCTION("GOOGLETRANSLATE(B237,""zh"",""vi"")"),"Giá cao")</f>
        <v>Giá cao</v>
      </c>
      <c r="F237" t="str">
        <v>13. Miêu tả &amp; Đánh giá</v>
      </c>
    </row>
    <row r="238">
      <c r="A238">
        <v>237</v>
      </c>
      <c r="B238" t="str">
        <v>高考</v>
      </c>
      <c r="D238" t="e">
        <f>pinyin(B238)</f>
        <v>#NAME?</v>
      </c>
      <c r="E238" t="str">
        <f>IFERROR(__xludf.DUMMYFUNCTION("GOOGLETRANSLATE(B238,""zh"",""vi"")"),"Kỳ thi tuyển sinh đại học")</f>
        <v>Kỳ thi tuyển sinh đại học</v>
      </c>
      <c r="F238" t="str">
        <v>1. Con người &amp; Các mối quan hệ</v>
      </c>
    </row>
    <row r="239">
      <c r="A239">
        <v>238</v>
      </c>
      <c r="B239" t="str">
        <v>高速</v>
      </c>
      <c r="D239" t="e">
        <f>pinyin(B239)</f>
        <v>#NAME?</v>
      </c>
      <c r="E239" t="str">
        <f>IFERROR(__xludf.DUMMYFUNCTION("GOOGLETRANSLATE(B239,""zh"",""vi"")"),"tốc độ cao")</f>
        <v>tốc độ cao</v>
      </c>
      <c r="F239" t="str">
        <v>13. Miêu tả &amp; Đánh giá</v>
      </c>
    </row>
    <row r="240">
      <c r="A240">
        <v>239</v>
      </c>
      <c r="B240" t="str">
        <v>高温</v>
      </c>
      <c r="D240" t="e">
        <f>pinyin(B240)</f>
        <v>#NAME?</v>
      </c>
      <c r="E240" t="str">
        <f>IFERROR(__xludf.DUMMYFUNCTION("GOOGLETRANSLATE(B240,""zh"",""vi"")"),"nhiệt độ cao")</f>
        <v>nhiệt độ cao</v>
      </c>
      <c r="F240" t="str">
        <v>13. Miêu tả &amp; Đánh giá</v>
      </c>
    </row>
    <row r="241">
      <c r="A241">
        <v>240</v>
      </c>
      <c r="B241" t="str">
        <v>高于</v>
      </c>
      <c r="D241" t="e">
        <f>pinyin(B241)</f>
        <v>#NAME?</v>
      </c>
      <c r="E241" t="str">
        <f>IFERROR(__xludf.DUMMYFUNCTION("GOOGLETRANSLATE(B241,""zh"",""vi"")"),"Cao hơn")</f>
        <v>Cao hơn</v>
      </c>
      <c r="F241" t="str">
        <v>13. Miêu tả &amp; Đánh giá</v>
      </c>
    </row>
    <row r="242">
      <c r="A242">
        <v>241</v>
      </c>
      <c r="B242" t="str">
        <v>各</v>
      </c>
      <c r="D242" t="e">
        <f>pinyin(B242)</f>
        <v>#NAME?</v>
      </c>
      <c r="E242" t="str">
        <f>IFERROR(__xludf.DUMMYFUNCTION("GOOGLETRANSLATE(B242,""zh"",""vi"")"),"mỗi")</f>
        <v>mỗi</v>
      </c>
      <c r="F242" t="str">
        <v>5. Đời sống sinh hoạt</v>
      </c>
    </row>
    <row r="243">
      <c r="A243">
        <v>242</v>
      </c>
      <c r="B243" t="str">
        <v>胳膊</v>
      </c>
      <c r="D243" t="e">
        <f>pinyin(B243)</f>
        <v>#NAME?</v>
      </c>
      <c r="E243" t="str">
        <f>IFERROR(__xludf.DUMMYFUNCTION("GOOGLETRANSLATE(B243,""zh"",""vi"")"),"cánh tay")</f>
        <v>cánh tay</v>
      </c>
      <c r="F243" t="str">
        <v>2. Cơ thể &amp; Sức khỏe</v>
      </c>
    </row>
    <row r="244">
      <c r="A244">
        <v>243</v>
      </c>
      <c r="B244" t="str">
        <v>各地</v>
      </c>
      <c r="D244" t="e">
        <f>pinyin(B244)</f>
        <v>#NAME?</v>
      </c>
      <c r="E244" t="str">
        <f>IFERROR(__xludf.DUMMYFUNCTION("GOOGLETRANSLATE(B244,""zh"",""vi"")"),"nhiều nơi")</f>
        <v>nhiều nơi</v>
      </c>
      <c r="F244" t="str">
        <v>7. Địa điểm &amp; Nơi chốn</v>
      </c>
    </row>
    <row r="245">
      <c r="A245">
        <v>244</v>
      </c>
      <c r="B245" t="str">
        <v>各个</v>
      </c>
      <c r="D245" t="e">
        <f>pinyin(B245)</f>
        <v>#NAME?</v>
      </c>
      <c r="E245" t="str">
        <f>IFERROR(__xludf.DUMMYFUNCTION("GOOGLETRANSLATE(B245,""zh"",""vi"")"),"mỗi")</f>
        <v>mỗi</v>
      </c>
      <c r="F245" t="str">
        <v>5. Đời sống sinh hoạt</v>
      </c>
    </row>
    <row r="246">
      <c r="A246">
        <v>245</v>
      </c>
      <c r="B246" t="str">
        <v>更加</v>
      </c>
      <c r="D246" t="e">
        <f>pinyin(B246)</f>
        <v>#NAME?</v>
      </c>
      <c r="E246" t="str">
        <f>IFERROR(__xludf.DUMMYFUNCTION("GOOGLETRANSLATE(B246,""zh"",""vi"")"),"hơn")</f>
        <v>hơn</v>
      </c>
      <c r="F246" t="str">
        <v>5. Đời sống sinh hoạt</v>
      </c>
    </row>
    <row r="247">
      <c r="A247">
        <v>246</v>
      </c>
      <c r="B247" t="str">
        <v>歌声</v>
      </c>
      <c r="D247" t="e">
        <f>pinyin(B247)</f>
        <v>#NAME?</v>
      </c>
      <c r="E247" t="str">
        <f>IFERROR(__xludf.DUMMYFUNCTION("GOOGLETRANSLATE(B247,""zh"",""vi"")"),"hát")</f>
        <v>hát</v>
      </c>
      <c r="F247" t="str">
        <v>5. Đời sống sinh hoạt</v>
      </c>
    </row>
    <row r="248">
      <c r="A248">
        <v>247</v>
      </c>
      <c r="B248" t="str">
        <v>歌手</v>
      </c>
      <c r="D248" t="e">
        <f>pinyin(B248)</f>
        <v>#NAME?</v>
      </c>
      <c r="E248" t="str">
        <f>IFERROR(__xludf.DUMMYFUNCTION("GOOGLETRANSLATE(B248,""zh"",""vi"")"),"ca sĩ")</f>
        <v>ca sĩ</v>
      </c>
      <c r="F248" t="str">
        <v>5. Đời sống sinh hoạt</v>
      </c>
    </row>
    <row r="249">
      <c r="A249">
        <v>248</v>
      </c>
      <c r="B249" t="str">
        <v>各位</v>
      </c>
      <c r="D249" t="e">
        <f>pinyin(B249)</f>
        <v>#NAME?</v>
      </c>
      <c r="E249" t="str">
        <f>IFERROR(__xludf.DUMMYFUNCTION("GOOGLETRANSLATE(B249,""zh"",""vi"")"),"Các bạn thân mến")</f>
        <v>Các bạn thân mến</v>
      </c>
      <c r="F249" t="str">
        <v>1. Con người &amp; Các mối quan hệ</v>
      </c>
    </row>
    <row r="250">
      <c r="A250">
        <v>249</v>
      </c>
      <c r="B250" t="str">
        <v>各种</v>
      </c>
      <c r="D250" t="e">
        <f>pinyin(B250)</f>
        <v>#NAME?</v>
      </c>
      <c r="E250" t="str">
        <f>IFERROR(__xludf.DUMMYFUNCTION("GOOGLETRANSLATE(B250,""zh"",""vi"")"),"Nhiều")</f>
        <v>Nhiều</v>
      </c>
      <c r="F250" t="str">
        <v>13. Miêu tả &amp; Đánh giá</v>
      </c>
    </row>
    <row r="251">
      <c r="A251">
        <v>250</v>
      </c>
      <c r="B251" t="str">
        <v>共</v>
      </c>
      <c r="D251" t="e">
        <f>pinyin(B251)</f>
        <v>#NAME?</v>
      </c>
      <c r="E251" t="str">
        <f>IFERROR(__xludf.DUMMYFUNCTION("GOOGLETRANSLATE(B251,""zh"",""vi"")"),"chung")</f>
        <v>chung</v>
      </c>
      <c r="F251" t="str">
        <v>5. Đời sống sinh hoạt</v>
      </c>
    </row>
    <row r="252">
      <c r="A252">
        <v>251</v>
      </c>
      <c r="B252" t="str">
        <v>工厂</v>
      </c>
      <c r="D252" t="e">
        <f>pinyin(B252)</f>
        <v>#NAME?</v>
      </c>
      <c r="E252" t="str">
        <f>IFERROR(__xludf.DUMMYFUNCTION("GOOGLETRANSLATE(B252,""zh"",""vi"")"),"nhà máy")</f>
        <v>nhà máy</v>
      </c>
      <c r="F252" t="str">
        <v>6. Đồ vật &amp; Công cụ</v>
      </c>
    </row>
    <row r="253">
      <c r="A253">
        <v>252</v>
      </c>
      <c r="B253" t="str">
        <v>功夫</v>
      </c>
      <c r="D253" t="e">
        <f>pinyin(B253)</f>
        <v>#NAME?</v>
      </c>
      <c r="E253" t="str">
        <f>IFERROR(__xludf.DUMMYFUNCTION("GOOGLETRANSLATE(B253,""zh"",""vi"")"),"cố gắng")</f>
        <v>cố gắng</v>
      </c>
      <c r="F253" t="str">
        <v>5. Đời sống sinh hoạt</v>
      </c>
    </row>
    <row r="254">
      <c r="A254">
        <v>253</v>
      </c>
      <c r="B254" t="str">
        <v>公共</v>
      </c>
      <c r="D254" t="e">
        <f>pinyin(B254)</f>
        <v>#NAME?</v>
      </c>
      <c r="E254" t="str">
        <f>IFERROR(__xludf.DUMMYFUNCTION("GOOGLETRANSLATE(B254,""zh"",""vi"")"),"công cộng")</f>
        <v>công cộng</v>
      </c>
      <c r="F254" t="str">
        <v>1. Con người &amp; Các mối quan hệ</v>
      </c>
    </row>
    <row r="255">
      <c r="A255">
        <v>254</v>
      </c>
      <c r="B255" t="str">
        <v>功课</v>
      </c>
      <c r="D255" t="e">
        <f>pinyin(B255)</f>
        <v>#NAME?</v>
      </c>
      <c r="E255" t="str">
        <f>IFERROR(__xludf.DUMMYFUNCTION("GOOGLETRANSLATE(B255,""zh"",""vi"")"),"bài tập về nhà")</f>
        <v>bài tập về nhà</v>
      </c>
      <c r="F255" t="str">
        <v>1. Con người &amp; Các mối quan hệ</v>
      </c>
    </row>
    <row r="256">
      <c r="A256">
        <v>255</v>
      </c>
      <c r="B256" t="str">
        <v>公里</v>
      </c>
      <c r="D256" t="e">
        <f>pinyin(B256)</f>
        <v>#NAME?</v>
      </c>
      <c r="E256" t="str">
        <f>IFERROR(__xludf.DUMMYFUNCTION("GOOGLETRANSLATE(B256,""zh"",""vi"")"),"ki-lô-mét")</f>
        <v>ki-lô-mét</v>
      </c>
      <c r="F256" t="str">
        <v>14. Số lượng &amp; Đo lường</v>
      </c>
    </row>
    <row r="257">
      <c r="A257">
        <v>256</v>
      </c>
      <c r="B257" t="str">
        <v>公路</v>
      </c>
      <c r="D257" t="e">
        <f>pinyin(B257)</f>
        <v>#NAME?</v>
      </c>
      <c r="E257" t="str">
        <f>IFERROR(__xludf.DUMMYFUNCTION("GOOGLETRANSLATE(B257,""zh"",""vi"")"),"đường cao tốc")</f>
        <v>đường cao tốc</v>
      </c>
      <c r="F257" t="str">
        <v>8. Giao thông &amp; Di chuyển</v>
      </c>
    </row>
    <row r="258">
      <c r="A258">
        <v>257</v>
      </c>
      <c r="B258" t="str">
        <v>工人</v>
      </c>
      <c r="D258" t="e">
        <f>pinyin(B258)</f>
        <v>#NAME?</v>
      </c>
      <c r="E258" t="str">
        <f>IFERROR(__xludf.DUMMYFUNCTION("GOOGLETRANSLATE(B258,""zh"",""vi"")"),"Công nhân")</f>
        <v>Công nhân</v>
      </c>
      <c r="F258" t="str">
        <v>1. Con người &amp; Các mối quan hệ</v>
      </c>
    </row>
    <row r="259">
      <c r="A259">
        <v>258</v>
      </c>
      <c r="B259" t="str">
        <v>共同</v>
      </c>
      <c r="D259" t="e">
        <f>pinyin(B259)</f>
        <v>#NAME?</v>
      </c>
      <c r="E259" t="str">
        <f>IFERROR(__xludf.DUMMYFUNCTION("GOOGLETRANSLATE(B259,""zh"",""vi"")"),"chung")</f>
        <v>chung</v>
      </c>
      <c r="F259" t="str">
        <v>5. Đời sống sinh hoạt</v>
      </c>
    </row>
    <row r="260">
      <c r="A260">
        <v>259</v>
      </c>
      <c r="B260" t="str">
        <v>工资</v>
      </c>
      <c r="D260" t="e">
        <f>pinyin(B260)</f>
        <v>#NAME?</v>
      </c>
      <c r="E260" t="str">
        <f>IFERROR(__xludf.DUMMYFUNCTION("GOOGLETRANSLATE(B260,""zh"",""vi"")"),"lương")</f>
        <v>lương</v>
      </c>
      <c r="F260" t="str">
        <v>12. Công việc &amp; Nghề nghiệp</v>
      </c>
    </row>
    <row r="261">
      <c r="A261">
        <v>260</v>
      </c>
      <c r="B261" t="str">
        <v>够</v>
      </c>
      <c r="D261" t="e">
        <f>pinyin(B261)</f>
        <v>#NAME?</v>
      </c>
      <c r="E261" t="str">
        <f>IFERROR(__xludf.DUMMYFUNCTION("GOOGLETRANSLATE(B261,""zh"",""vi"")"),"đủ")</f>
        <v>đủ</v>
      </c>
      <c r="F261" t="str">
        <v>5. Đời sống sinh hoạt</v>
      </c>
    </row>
    <row r="262">
      <c r="A262">
        <v>261</v>
      </c>
      <c r="B262" t="str">
        <v>购买</v>
      </c>
      <c r="D262" t="e">
        <f>pinyin(B262)</f>
        <v>#NAME?</v>
      </c>
      <c r="E262" t="str">
        <f>IFERROR(__xludf.DUMMYFUNCTION("GOOGLETRANSLATE(B262,""zh"",""vi"")"),"Mua")</f>
        <v>Mua</v>
      </c>
      <c r="F262" t="str">
        <v>5. Đời sống sinh hoạt</v>
      </c>
    </row>
    <row r="263">
      <c r="A263">
        <v>262</v>
      </c>
      <c r="B263" t="str">
        <v>购物</v>
      </c>
      <c r="D263" t="e">
        <f>pinyin(B263)</f>
        <v>#NAME?</v>
      </c>
      <c r="E263" t="str">
        <f>IFERROR(__xludf.DUMMYFUNCTION("GOOGLETRANSLATE(B263,""zh"",""vi"")"),"Mua sắm")</f>
        <v>Mua sắm</v>
      </c>
      <c r="F263" t="str">
        <v>5. Đời sống sinh hoạt</v>
      </c>
    </row>
    <row r="264">
      <c r="A264">
        <v>263</v>
      </c>
      <c r="B264" t="str">
        <v>挂</v>
      </c>
      <c r="D264" t="e">
        <f>pinyin(B264)</f>
        <v>#NAME?</v>
      </c>
      <c r="E264" t="str">
        <f>IFERROR(__xludf.DUMMYFUNCTION("GOOGLETRANSLATE(B264,""zh"",""vi"")"),"treo")</f>
        <v>treo</v>
      </c>
      <c r="F264" t="str">
        <v>5. Đời sống sinh hoạt</v>
      </c>
    </row>
    <row r="265">
      <c r="A265">
        <v>264</v>
      </c>
      <c r="B265" t="str">
        <v>管</v>
      </c>
      <c r="D265" t="e">
        <f>pinyin(B265)</f>
        <v>#NAME?</v>
      </c>
      <c r="E265" t="str">
        <f>IFERROR(__xludf.DUMMYFUNCTION("GOOGLETRANSLATE(B265,""zh"",""vi"")"),"Ống")</f>
        <v>Ống</v>
      </c>
      <c r="F265" t="str">
        <v>5. Đời sống sinh hoạt</v>
      </c>
    </row>
    <row r="266">
      <c r="A266">
        <v>265</v>
      </c>
      <c r="B266" t="str">
        <v>逛</v>
      </c>
      <c r="D266" t="e">
        <f>pinyin(B266)</f>
        <v>#NAME?</v>
      </c>
      <c r="E266" t="str">
        <f>IFERROR(__xludf.DUMMYFUNCTION("GOOGLETRANSLATE(B266,""zh"",""vi"")"),"thăm nom")</f>
        <v>thăm nom</v>
      </c>
      <c r="F266" t="str">
        <v>5. Đời sống sinh hoạt</v>
      </c>
    </row>
    <row r="267">
      <c r="A267">
        <v>266</v>
      </c>
      <c r="B267" t="str">
        <v>光</v>
      </c>
      <c r="D267" t="e">
        <f>pinyin(B267)</f>
        <v>#NAME?</v>
      </c>
      <c r="E267" t="str">
        <f>IFERROR(__xludf.DUMMYFUNCTION("GOOGLETRANSLATE(B267,""zh"",""vi"")"),"Ánh sáng")</f>
        <v>Ánh sáng</v>
      </c>
      <c r="F267" t="str">
        <v>10. Thời gian</v>
      </c>
    </row>
    <row r="268">
      <c r="A268">
        <v>267</v>
      </c>
      <c r="B268" t="str">
        <v>广播</v>
      </c>
      <c r="D268" t="e">
        <f>pinyin(B268)</f>
        <v>#NAME?</v>
      </c>
      <c r="E268" t="str">
        <f>IFERROR(__xludf.DUMMYFUNCTION("GOOGLETRANSLATE(B268,""zh"",""vi"")"),"phát tin")</f>
        <v>phát tin</v>
      </c>
      <c r="F268" t="str">
        <v>4. Tư duy &amp; Nhận thức</v>
      </c>
    </row>
    <row r="269">
      <c r="A269">
        <v>268</v>
      </c>
      <c r="B269" t="str">
        <v>广告</v>
      </c>
      <c r="D269" t="e">
        <f>pinyin(B269)</f>
        <v>#NAME?</v>
      </c>
      <c r="E269" t="str">
        <f>IFERROR(__xludf.DUMMYFUNCTION("GOOGLETRANSLATE(B269,""zh"",""vi"")"),"quảng cáo")</f>
        <v>quảng cáo</v>
      </c>
      <c r="F269" t="str">
        <v>5. Đời sống sinh hoạt</v>
      </c>
    </row>
    <row r="270">
      <c r="A270">
        <v>269</v>
      </c>
      <c r="B270" t="str">
        <v>关键</v>
      </c>
      <c r="D270" t="e">
        <f>pinyin(B270)</f>
        <v>#NAME?</v>
      </c>
      <c r="E270" t="str">
        <f>IFERROR(__xludf.DUMMYFUNCTION("GOOGLETRANSLATE(B270,""zh"",""vi"")"),"chìa khóa")</f>
        <v>chìa khóa</v>
      </c>
      <c r="F270" t="str">
        <v>6. Đồ vật &amp; Công cụ</v>
      </c>
    </row>
    <row r="271">
      <c r="A271">
        <v>270</v>
      </c>
      <c r="B271" t="str">
        <v>观看</v>
      </c>
      <c r="D271" t="e">
        <f>pinyin(B271)</f>
        <v>#NAME?</v>
      </c>
      <c r="E271" t="str">
        <f>IFERROR(__xludf.DUMMYFUNCTION("GOOGLETRANSLATE(B271,""zh"",""vi"")"),"Đồng hồ")</f>
        <v>Đồng hồ</v>
      </c>
      <c r="F271" t="str">
        <v>6. Đồ vật &amp; Công cụ</v>
      </c>
    </row>
    <row r="272">
      <c r="A272">
        <v>271</v>
      </c>
      <c r="B272" t="str">
        <v>管理</v>
      </c>
      <c r="D272" t="e">
        <f>pinyin(B272)</f>
        <v>#NAME?</v>
      </c>
      <c r="E272" t="str">
        <f>IFERROR(__xludf.DUMMYFUNCTION("GOOGLETRANSLATE(B272,""zh"",""vi"")"),"quản lý")</f>
        <v>quản lý</v>
      </c>
      <c r="F272" t="str">
        <v>5. Đời sống sinh hoạt</v>
      </c>
    </row>
    <row r="273">
      <c r="A273">
        <v>272</v>
      </c>
      <c r="B273" t="str">
        <v>观众</v>
      </c>
      <c r="D273" t="e">
        <f>pinyin(B273)</f>
        <v>#NAME?</v>
      </c>
      <c r="E273" t="str">
        <f>IFERROR(__xludf.DUMMYFUNCTION("GOOGLETRANSLATE(B273,""zh"",""vi"")"),"khán giả")</f>
        <v>khán giả</v>
      </c>
      <c r="F273" t="str">
        <v>5. Đời sống sinh hoạt</v>
      </c>
    </row>
    <row r="274">
      <c r="A274">
        <v>273</v>
      </c>
      <c r="B274" t="str">
        <v>规定</v>
      </c>
      <c r="D274" t="e">
        <f>pinyin(B274)</f>
        <v>#NAME?</v>
      </c>
      <c r="E274" t="str">
        <f>IFERROR(__xludf.DUMMYFUNCTION("GOOGLETRANSLATE(B274,""zh"",""vi"")"),"Quy định")</f>
        <v>Quy định</v>
      </c>
      <c r="F274" t="str">
        <v>5. Đời sống sinh hoạt</v>
      </c>
    </row>
    <row r="275">
      <c r="A275">
        <v>274</v>
      </c>
      <c r="B275" t="str">
        <v>估计</v>
      </c>
      <c r="D275" t="e">
        <f>pinyin(B275)</f>
        <v>#NAME?</v>
      </c>
      <c r="E275" t="str">
        <f>IFERROR(__xludf.DUMMYFUNCTION("GOOGLETRANSLATE(B275,""zh"",""vi"")"),"ước lượng")</f>
        <v>ước lượng</v>
      </c>
      <c r="F275" t="str">
        <v>14. Số lượng &amp; Đo lường</v>
      </c>
    </row>
    <row r="276">
      <c r="A276">
        <v>275</v>
      </c>
      <c r="B276" t="str">
        <v>顾客</v>
      </c>
      <c r="D276" t="e">
        <f>pinyin(B276)</f>
        <v>#NAME?</v>
      </c>
      <c r="E276" t="str">
        <f>IFERROR(__xludf.DUMMYFUNCTION("GOOGLETRANSLATE(B276,""zh"",""vi"")"),"khách hàng")</f>
        <v>khách hàng</v>
      </c>
      <c r="F276" t="str">
        <v>1. Con người &amp; Các mối quan hệ</v>
      </c>
    </row>
    <row r="277">
      <c r="A277">
        <v>276</v>
      </c>
      <c r="B277" t="str">
        <v>鼓励</v>
      </c>
      <c r="D277" t="e">
        <f>pinyin(B277)</f>
        <v>#NAME?</v>
      </c>
      <c r="E277" t="str">
        <f>IFERROR(__xludf.DUMMYFUNCTION("GOOGLETRANSLATE(B277,""zh"",""vi"")"),"khuyến khích")</f>
        <v>khuyến khích</v>
      </c>
      <c r="F277" t="str">
        <v>5. Đời sống sinh hoạt</v>
      </c>
    </row>
    <row r="278">
      <c r="A278">
        <v>277</v>
      </c>
      <c r="B278" t="str">
        <v>姑娘</v>
      </c>
      <c r="D278" t="e">
        <f>pinyin(B278)</f>
        <v>#NAME?</v>
      </c>
      <c r="E278" t="str">
        <f>IFERROR(__xludf.DUMMYFUNCTION("GOOGLETRANSLATE(B278,""zh"",""vi"")"),"con gái")</f>
        <v>con gái</v>
      </c>
      <c r="F278" t="str">
        <v>5. Đời sống sinh hoạt</v>
      </c>
    </row>
    <row r="279">
      <c r="A279">
        <v>278</v>
      </c>
      <c r="B279" t="str">
        <v>过程</v>
      </c>
      <c r="D279" t="e">
        <f>pinyin(B279)</f>
        <v>#NAME?</v>
      </c>
      <c r="E279" t="str">
        <f>IFERROR(__xludf.DUMMYFUNCTION("GOOGLETRANSLATE(B279,""zh"",""vi"")"),"quá trình")</f>
        <v>quá trình</v>
      </c>
      <c r="F279" t="str">
        <v>5. Đời sống sinh hoạt</v>
      </c>
    </row>
    <row r="280">
      <c r="A280">
        <v>279</v>
      </c>
      <c r="B280" t="str">
        <v>国籍</v>
      </c>
      <c r="D280" t="e">
        <f>pinyin(B280)</f>
        <v>#NAME?</v>
      </c>
      <c r="E280" t="str">
        <f>IFERROR(__xludf.DUMMYFUNCTION("GOOGLETRANSLATE(B280,""zh"",""vi"")"),"Quốc tịch")</f>
        <v>Quốc tịch</v>
      </c>
      <c r="F280" t="str">
        <v>5. Đời sống sinh hoạt</v>
      </c>
    </row>
    <row r="281">
      <c r="A281">
        <v>280</v>
      </c>
      <c r="B281" t="str">
        <v>国际</v>
      </c>
      <c r="D281" t="e">
        <f>pinyin(B281)</f>
        <v>#NAME?</v>
      </c>
      <c r="E281" t="str">
        <f>IFERROR(__xludf.DUMMYFUNCTION("GOOGLETRANSLATE(B281,""zh"",""vi"")"),"tính quốc tế")</f>
        <v>tính quốc tế</v>
      </c>
      <c r="F281" t="str">
        <v>5. Đời sống sinh hoạt</v>
      </c>
    </row>
    <row r="282">
      <c r="A282">
        <v>281</v>
      </c>
      <c r="B282" t="str">
        <v>果汁</v>
      </c>
      <c r="D282" t="e">
        <f>pinyin(B282)</f>
        <v>#NAME?</v>
      </c>
      <c r="E282" t="str">
        <f>IFERROR(__xludf.DUMMYFUNCTION("GOOGLETRANSLATE(B282,""zh"",""vi"")"),"nước ép")</f>
        <v>nước ép</v>
      </c>
      <c r="F282" t="str">
        <v>5. Đời sống sinh hoạt</v>
      </c>
    </row>
    <row r="283">
      <c r="A283">
        <v>282</v>
      </c>
      <c r="B283" t="str">
        <v>故意</v>
      </c>
      <c r="D283" t="e">
        <f>pinyin(B283)</f>
        <v>#NAME?</v>
      </c>
      <c r="E283" t="str">
        <f>IFERROR(__xludf.DUMMYFUNCTION("GOOGLETRANSLATE(B283,""zh"",""vi"")"),"cố ý")</f>
        <v>cố ý</v>
      </c>
      <c r="F283" t="str">
        <v>5. Đời sống sinh hoạt</v>
      </c>
    </row>
    <row r="284">
      <c r="A284">
        <v>283</v>
      </c>
      <c r="B284" t="str">
        <v>害羞</v>
      </c>
      <c r="D284" t="e">
        <f>pinyin(B284)</f>
        <v>#NAME?</v>
      </c>
      <c r="E284" t="str">
        <f>IFERROR(__xludf.DUMMYFUNCTION("GOOGLETRANSLATE(B284,""zh"",""vi"")"),"xấu hổ")</f>
        <v>xấu hổ</v>
      </c>
      <c r="F284" t="str">
        <v>13. Miêu tả &amp; Đánh giá</v>
      </c>
    </row>
    <row r="285">
      <c r="A285">
        <v>284</v>
      </c>
      <c r="B285" t="str">
        <v>海洋</v>
      </c>
      <c r="D285" t="e">
        <f>pinyin(B285)</f>
        <v>#NAME?</v>
      </c>
      <c r="E285" t="str">
        <f>IFERROR(__xludf.DUMMYFUNCTION("GOOGLETRANSLATE(B285,""zh"",""vi"")"),"đại dương")</f>
        <v>đại dương</v>
      </c>
      <c r="F285" t="str">
        <v>5. Đời sống sinh hoạt</v>
      </c>
    </row>
    <row r="286">
      <c r="A286">
        <v>285</v>
      </c>
      <c r="B286" t="str">
        <v>汗</v>
      </c>
      <c r="D286" t="e">
        <f>pinyin(B286)</f>
        <v>#NAME?</v>
      </c>
      <c r="E286" t="str">
        <f>IFERROR(__xludf.DUMMYFUNCTION("GOOGLETRANSLATE(B286,""zh"",""vi"")"),"mồ hôi")</f>
        <v>mồ hôi</v>
      </c>
      <c r="F286" t="str">
        <v>5. Đời sống sinh hoạt</v>
      </c>
    </row>
    <row r="287">
      <c r="A287">
        <v>286</v>
      </c>
      <c r="B287" t="str">
        <v>喊</v>
      </c>
      <c r="D287" t="e">
        <f>pinyin(B287)</f>
        <v>#NAME?</v>
      </c>
      <c r="E287" t="str">
        <f>IFERROR(__xludf.DUMMYFUNCTION("GOOGLETRANSLATE(B287,""zh"",""vi"")"),"gọi ")</f>
        <v xml:space="preserve">gọi </v>
      </c>
      <c r="F287" t="str">
        <v>5. Đời sống sinh hoạt</v>
      </c>
    </row>
    <row r="288">
      <c r="A288">
        <v>287</v>
      </c>
      <c r="B288" t="str">
        <v>航班</v>
      </c>
      <c r="D288" t="e">
        <f>pinyin(B288)</f>
        <v>#NAME?</v>
      </c>
      <c r="E288" t="str">
        <f>IFERROR(__xludf.DUMMYFUNCTION("GOOGLETRANSLATE(B288,""zh"",""vi"")"),"chuyến bay")</f>
        <v>chuyến bay</v>
      </c>
      <c r="F288" t="str">
        <v>8. Giao thông &amp; Di chuyển</v>
      </c>
    </row>
    <row r="289">
      <c r="A289">
        <v>288</v>
      </c>
      <c r="B289" t="str">
        <v>寒假</v>
      </c>
      <c r="D289" t="e">
        <f>pinyin(B289)</f>
        <v>#NAME?</v>
      </c>
      <c r="E289" t="str">
        <f>IFERROR(__xludf.DUMMYFUNCTION("GOOGLETRANSLATE(B289,""zh"",""vi"")"),"kỳ nghỉ đông")</f>
        <v>kỳ nghỉ đông</v>
      </c>
      <c r="F289" t="str">
        <v>10. Thời gian</v>
      </c>
    </row>
    <row r="290">
      <c r="A290">
        <v>289</v>
      </c>
      <c r="B290" t="str">
        <v>寒冷</v>
      </c>
      <c r="D290" t="e">
        <f>pinyin(B290)</f>
        <v>#NAME?</v>
      </c>
      <c r="E290" t="str">
        <f>IFERROR(__xludf.DUMMYFUNCTION("GOOGLETRANSLATE(B290,""zh"",""vi"")"),"lạnh lẽo")</f>
        <v>lạnh lẽo</v>
      </c>
      <c r="F290" t="str">
        <v>13. Miêu tả &amp; Đánh giá</v>
      </c>
    </row>
    <row r="291">
      <c r="A291">
        <v>290</v>
      </c>
      <c r="B291" t="str">
        <v>好处</v>
      </c>
      <c r="D291" t="e">
        <f>pinyin(B291)</f>
        <v>#NAME?</v>
      </c>
      <c r="E291" t="str">
        <f>IFERROR(__xludf.DUMMYFUNCTION("GOOGLETRANSLATE(B291,""zh"",""vi"")"),"lợi ích")</f>
        <v>lợi ích</v>
      </c>
      <c r="F291" t="str">
        <v>5. Đời sống sinh hoạt</v>
      </c>
    </row>
    <row r="292">
      <c r="A292">
        <v>291</v>
      </c>
      <c r="B292" t="str">
        <v>好好</v>
      </c>
      <c r="D292" t="e">
        <f>pinyin(B292)</f>
        <v>#NAME?</v>
      </c>
      <c r="E292" t="str">
        <f>IFERROR(__xludf.DUMMYFUNCTION("GOOGLETRANSLATE(B292,""zh"",""vi"")"),"Tốt")</f>
        <v>Tốt</v>
      </c>
      <c r="F292" t="str">
        <v>13. Miêu tả &amp; Đánh giá</v>
      </c>
    </row>
    <row r="293">
      <c r="A293">
        <v>292</v>
      </c>
      <c r="B293" t="str">
        <v>好笑</v>
      </c>
      <c r="D293" t="e">
        <f>pinyin(B293)</f>
        <v>#NAME?</v>
      </c>
      <c r="E293" t="str">
        <f>IFERROR(__xludf.DUMMYFUNCTION("GOOGLETRANSLATE(B293,""zh"",""vi"")"),"buồn cười")</f>
        <v>buồn cười</v>
      </c>
      <c r="F293" t="str">
        <v>3. Cảm xúc &amp; Thái độ</v>
      </c>
    </row>
    <row r="294">
      <c r="A294">
        <v>293</v>
      </c>
      <c r="B294" t="str">
        <v>合格</v>
      </c>
      <c r="D294" t="e">
        <f>pinyin(B294)</f>
        <v>#NAME?</v>
      </c>
      <c r="E294" t="str">
        <f>IFERROR(__xludf.DUMMYFUNCTION("GOOGLETRANSLATE(B294,""zh"",""vi"")"),"đạt tiêu chuẩn")</f>
        <v>đạt tiêu chuẩn</v>
      </c>
      <c r="F294" t="str">
        <v>5. Đời sống sinh hoạt</v>
      </c>
    </row>
    <row r="295">
      <c r="A295">
        <v>294</v>
      </c>
      <c r="B295" t="str">
        <v>盒子</v>
      </c>
      <c r="D295" t="e">
        <f>pinyin(B295)</f>
        <v>#NAME?</v>
      </c>
      <c r="E295" t="str">
        <f>IFERROR(__xludf.DUMMYFUNCTION("GOOGLETRANSLATE(B295,""zh"",""vi"")"),"Hộp")</f>
        <v>Hộp</v>
      </c>
      <c r="F295" t="str">
        <v>5. Đời sống sinh hoạt</v>
      </c>
    </row>
    <row r="296">
      <c r="A296">
        <v>295</v>
      </c>
      <c r="B296" t="str">
        <v>红包</v>
      </c>
      <c r="D296" t="e">
        <f>pinyin(B296)</f>
        <v>#NAME?</v>
      </c>
      <c r="E296" t="str">
        <f>IFERROR(__xludf.DUMMYFUNCTION("GOOGLETRANSLATE(B296,""zh"",""vi"")"),"Phong bì đỏ")</f>
        <v>Phong bì đỏ</v>
      </c>
      <c r="F296" t="str">
        <v>13. Miêu tả &amp; Đánh giá</v>
      </c>
    </row>
    <row r="297">
      <c r="A297">
        <v>296</v>
      </c>
      <c r="B297" t="str">
        <v>厚</v>
      </c>
      <c r="D297" t="e">
        <f>pinyin(B297)</f>
        <v>#NAME?</v>
      </c>
      <c r="E297" t="str">
        <f>IFERROR(__xludf.DUMMYFUNCTION("GOOGLETRANSLATE(B297,""zh"",""vi"")"),"dày")</f>
        <v>dày</v>
      </c>
      <c r="F297" t="str">
        <v>5. Đời sống sinh hoạt</v>
      </c>
    </row>
    <row r="298">
      <c r="A298">
        <v>297</v>
      </c>
      <c r="B298" t="str">
        <v>后悔</v>
      </c>
      <c r="D298" t="e">
        <f>pinyin(B298)</f>
        <v>#NAME?</v>
      </c>
      <c r="E298" t="str">
        <f>IFERROR(__xludf.DUMMYFUNCTION("GOOGLETRANSLATE(B298,""zh"",""vi"")"),"hối tiếc")</f>
        <v>hối tiếc</v>
      </c>
      <c r="F298" t="str">
        <v>5. Đời sống sinh hoạt</v>
      </c>
    </row>
    <row r="299">
      <c r="A299">
        <v>298</v>
      </c>
      <c r="B299" t="str">
        <v>坏处</v>
      </c>
      <c r="D299" t="e">
        <f>pinyin(B299)</f>
        <v>#NAME?</v>
      </c>
      <c r="E299" t="str">
        <f>IFERROR(__xludf.DUMMYFUNCTION("GOOGLETRANSLATE(B299,""zh"",""vi"")"),"làm hại")</f>
        <v>làm hại</v>
      </c>
      <c r="F299" t="str">
        <v>10. Thời gian</v>
      </c>
    </row>
    <row r="300">
      <c r="A300">
        <v>299</v>
      </c>
      <c r="B300" t="str">
        <v>怀疑</v>
      </c>
      <c r="D300" t="e">
        <f>pinyin(B300)</f>
        <v>#NAME?</v>
      </c>
      <c r="E300" t="str">
        <f>IFERROR(__xludf.DUMMYFUNCTION("GOOGLETRANSLATE(B300,""zh"",""vi"")"),"Nghi ngờ")</f>
        <v>Nghi ngờ</v>
      </c>
      <c r="F300" t="str">
        <v>5. Đời sống sinh hoạt</v>
      </c>
    </row>
    <row r="301">
      <c r="A301">
        <v>300</v>
      </c>
      <c r="B301" t="str">
        <v>话剧</v>
      </c>
      <c r="D301" t="e">
        <f>pinyin(B301)</f>
        <v>#NAME?</v>
      </c>
      <c r="E301" t="str">
        <f>IFERROR(__xludf.DUMMYFUNCTION("GOOGLETRANSLATE(B301,""zh"",""vi"")"),"vở kịch sân khấu")</f>
        <v>vở kịch sân khấu</v>
      </c>
      <c r="F301" t="str">
        <v>6. Đồ vật &amp; Công cụ</v>
      </c>
    </row>
    <row r="302">
      <c r="A302">
        <v>301</v>
      </c>
      <c r="B302" t="str">
        <v>环保</v>
      </c>
      <c r="D302" t="e">
        <f>pinyin(B302)</f>
        <v>#NAME?</v>
      </c>
      <c r="E302" t="str">
        <f>IFERROR(__xludf.DUMMYFUNCTION("GOOGLETRANSLATE(B302,""zh"",""vi"")"),"Thân thiện với môi trường")</f>
        <v>Thân thiện với môi trường</v>
      </c>
      <c r="F302" t="str">
        <v>7. Địa điểm &amp; Nơi chốn</v>
      </c>
    </row>
    <row r="303">
      <c r="A303">
        <v>302</v>
      </c>
      <c r="B303" t="str">
        <v>换乘</v>
      </c>
      <c r="D303" t="e">
        <f>pinyin(B303)</f>
        <v>#NAME?</v>
      </c>
      <c r="E303" t="str">
        <f>IFERROR(__xludf.DUMMYFUNCTION("GOOGLETRANSLATE(B303,""zh"",""vi"")"),"Chuyển khoản")</f>
        <v>Chuyển khoản</v>
      </c>
      <c r="F303" t="str">
        <v>5. Đời sống sinh hoạt</v>
      </c>
    </row>
    <row r="304">
      <c r="A304">
        <v>303</v>
      </c>
      <c r="B304" t="str">
        <v>回复</v>
      </c>
      <c r="D304" t="e">
        <f>pinyin(B304)</f>
        <v>#NAME?</v>
      </c>
      <c r="E304" t="str">
        <f>IFERROR(__xludf.DUMMYFUNCTION("GOOGLETRANSLATE(B304,""zh"",""vi"")"),"hồi đáp")</f>
        <v>hồi đáp</v>
      </c>
      <c r="F304" t="str">
        <v>16. Tự nhiên</v>
      </c>
    </row>
    <row r="305">
      <c r="A305">
        <v>304</v>
      </c>
      <c r="B305" t="str">
        <v>回信</v>
      </c>
      <c r="D305" t="e">
        <f>pinyin(B305)</f>
        <v>#NAME?</v>
      </c>
      <c r="E305" t="str">
        <f>IFERROR(__xludf.DUMMYFUNCTION("GOOGLETRANSLATE(B305,""zh"",""vi"")"),"hồi đáp")</f>
        <v>hồi đáp</v>
      </c>
      <c r="F305" t="str">
        <v>16. Tự nhiên</v>
      </c>
    </row>
    <row r="306">
      <c r="A306">
        <v>305</v>
      </c>
      <c r="B306" t="str">
        <v>回忆</v>
      </c>
      <c r="D306" t="e">
        <f>pinyin(B306)</f>
        <v>#NAME?</v>
      </c>
      <c r="E306" t="str">
        <f>IFERROR(__xludf.DUMMYFUNCTION("GOOGLETRANSLATE(B306,""zh"",""vi"")"),"nhớ")</f>
        <v>nhớ</v>
      </c>
      <c r="F306" t="str">
        <v>4. Tư duy &amp; Nhận thức</v>
      </c>
    </row>
    <row r="307">
      <c r="A307">
        <v>306</v>
      </c>
      <c r="B307" t="str">
        <v>会员</v>
      </c>
      <c r="D307" t="e">
        <f>pinyin(B307)</f>
        <v>#NAME?</v>
      </c>
      <c r="E307" t="str">
        <f>IFERROR(__xludf.DUMMYFUNCTION("GOOGLETRANSLATE(B307,""zh"",""vi"")"),"thành viên")</f>
        <v>thành viên</v>
      </c>
      <c r="F307" t="str">
        <v>6. Đồ vật &amp; Công cụ</v>
      </c>
    </row>
    <row r="308">
      <c r="A308">
        <v>307</v>
      </c>
      <c r="B308" t="str">
        <v>互联网</v>
      </c>
      <c r="D308" t="e">
        <f>pinyin(B308)</f>
        <v>#NAME?</v>
      </c>
      <c r="E308" t="str">
        <f>IFERROR(__xludf.DUMMYFUNCTION("GOOGLETRANSLATE(B308,""zh"",""vi"")"),"internet")</f>
        <v>internet</v>
      </c>
      <c r="F308" t="str">
        <v>5. Đời sống sinh hoạt</v>
      </c>
    </row>
    <row r="309">
      <c r="A309">
        <v>308</v>
      </c>
      <c r="B309" t="str">
        <v>活</v>
      </c>
      <c r="D309" t="e">
        <f>pinyin(B309)</f>
        <v>#NAME?</v>
      </c>
      <c r="E309" t="str">
        <f>IFERROR(__xludf.DUMMYFUNCTION("GOOGLETRANSLATE(B309,""zh"",""vi"")"),"sống")</f>
        <v>sống</v>
      </c>
      <c r="F309" t="str">
        <v>14. Số lượng &amp; Đo lường</v>
      </c>
    </row>
    <row r="310">
      <c r="A310">
        <v>309</v>
      </c>
      <c r="B310" t="str">
        <v>货</v>
      </c>
      <c r="D310" t="e">
        <f>pinyin(B310)</f>
        <v>#NAME?</v>
      </c>
      <c r="E310" t="str">
        <f>IFERROR(__xludf.DUMMYFUNCTION("GOOGLETRANSLATE(B310,""zh"",""vi"")"),"hàng hóa")</f>
        <v>hàng hóa</v>
      </c>
      <c r="F310" t="str">
        <v>5. Đời sống sinh hoạt</v>
      </c>
    </row>
    <row r="311">
      <c r="A311">
        <v>310</v>
      </c>
      <c r="B311" t="str">
        <v>火</v>
      </c>
      <c r="D311" t="e">
        <f>pinyin(B311)</f>
        <v>#NAME?</v>
      </c>
      <c r="E311" t="str">
        <f>IFERROR(__xludf.DUMMYFUNCTION("GOOGLETRANSLATE(B311,""zh"",""vi"")"),"ngọn lửa")</f>
        <v>ngọn lửa</v>
      </c>
      <c r="F311" t="str">
        <v>5. Đời sống sinh hoạt</v>
      </c>
    </row>
    <row r="312">
      <c r="A312">
        <v>311</v>
      </c>
      <c r="B312" t="str">
        <v>获得</v>
      </c>
      <c r="D312" t="e">
        <f>pinyin(B312)</f>
        <v>#NAME?</v>
      </c>
      <c r="E312" t="str">
        <f>IFERROR(__xludf.DUMMYFUNCTION("GOOGLETRANSLATE(B312,""zh"",""vi"")"),"lấy")</f>
        <v>lấy</v>
      </c>
      <c r="F312" t="str">
        <v>5. Đời sống sinh hoạt</v>
      </c>
    </row>
    <row r="313">
      <c r="A313">
        <v>312</v>
      </c>
      <c r="B313" t="str">
        <v>活动</v>
      </c>
      <c r="D313" t="e">
        <f>pinyin(B313)</f>
        <v>#NAME?</v>
      </c>
      <c r="E313" t="str">
        <f>IFERROR(__xludf.DUMMYFUNCTION("GOOGLETRANSLATE(B313,""zh"",""vi"")"),"Hoạt động")</f>
        <v>Hoạt động</v>
      </c>
      <c r="F313" t="str">
        <v>5. Đời sống sinh hoạt</v>
      </c>
    </row>
    <row r="314">
      <c r="A314">
        <v>313</v>
      </c>
      <c r="B314" t="str">
        <v>获奖</v>
      </c>
      <c r="D314" t="e">
        <f>pinyin(B314)</f>
        <v>#NAME?</v>
      </c>
      <c r="E314" t="str">
        <f>IFERROR(__xludf.DUMMYFUNCTION("GOOGLETRANSLATE(B314,""zh"",""vi"")"),"Phần thưởng")</f>
        <v>Phần thưởng</v>
      </c>
      <c r="F314" t="str">
        <v>5. Đời sống sinh hoạt</v>
      </c>
    </row>
    <row r="315">
      <c r="A315">
        <v>314</v>
      </c>
      <c r="B315" t="str">
        <v>活泼</v>
      </c>
      <c r="D315" t="e">
        <f>pinyin(B315)</f>
        <v>#NAME?</v>
      </c>
      <c r="E315" t="str">
        <f>IFERROR(__xludf.DUMMYFUNCTION("GOOGLETRANSLATE(B315,""zh"",""vi"")"),"sống động")</f>
        <v>sống động</v>
      </c>
      <c r="F315" t="str">
        <v>14. Số lượng &amp; Đo lường</v>
      </c>
    </row>
    <row r="316">
      <c r="A316">
        <v>315</v>
      </c>
      <c r="B316" t="str">
        <v>获取</v>
      </c>
      <c r="D316" t="e">
        <f>pinyin(B316)</f>
        <v>#NAME?</v>
      </c>
      <c r="E316" t="str">
        <f>IFERROR(__xludf.DUMMYFUNCTION("GOOGLETRANSLATE(B316,""zh"",""vi"")"),"Lấy")</f>
        <v>Lấy</v>
      </c>
      <c r="F316" t="str">
        <v>5. Đời sống sinh hoạt</v>
      </c>
    </row>
    <row r="317">
      <c r="A317">
        <v>316</v>
      </c>
      <c r="B317" t="str">
        <v>忽然</v>
      </c>
      <c r="D317" t="e">
        <f>pinyin(B317)</f>
        <v>#NAME?</v>
      </c>
      <c r="E317" t="str">
        <f>IFERROR(__xludf.DUMMYFUNCTION("GOOGLETRANSLATE(B317,""zh"",""vi"")"),"đột nhiên")</f>
        <v>đột nhiên</v>
      </c>
      <c r="F317" t="str">
        <v>5. Đời sống sinh hoạt</v>
      </c>
    </row>
    <row r="318">
      <c r="A318">
        <v>317</v>
      </c>
      <c r="B318" t="str">
        <v>护士</v>
      </c>
      <c r="D318" t="e">
        <f>pinyin(B318)</f>
        <v>#NAME?</v>
      </c>
      <c r="E318" t="str">
        <f>IFERROR(__xludf.DUMMYFUNCTION("GOOGLETRANSLATE(B318,""zh"",""vi"")"),"Y tá")</f>
        <v>Y tá</v>
      </c>
      <c r="F318" t="str">
        <v>5. Đời sống sinh hoạt</v>
      </c>
    </row>
    <row r="319">
      <c r="A319">
        <v>318</v>
      </c>
      <c r="B319" t="str">
        <v>互相</v>
      </c>
      <c r="D319" t="e">
        <f>pinyin(B319)</f>
        <v>#NAME?</v>
      </c>
      <c r="E319" t="str">
        <f>IFERROR(__xludf.DUMMYFUNCTION("GOOGLETRANSLATE(B319,""zh"",""vi"")"),"nhau ")</f>
        <v xml:space="preserve">nhau </v>
      </c>
      <c r="F319" t="str">
        <v>5. Đời sống sinh hoạt</v>
      </c>
    </row>
    <row r="320">
      <c r="A320">
        <v>319</v>
      </c>
      <c r="B320" t="str">
        <v>既</v>
      </c>
      <c r="D320" t="e">
        <f>pinyin(B320)</f>
        <v>#NAME?</v>
      </c>
      <c r="E320" t="str">
        <f>IFERROR(__xludf.DUMMYFUNCTION("GOOGLETRANSLATE(B320,""zh"",""vi"")"),"bây giờ thì")</f>
        <v>bây giờ thì</v>
      </c>
      <c r="F320" t="str">
        <v>10. Thời gian</v>
      </c>
    </row>
    <row r="321">
      <c r="A321">
        <v>320</v>
      </c>
      <c r="B321" t="str">
        <v>寄</v>
      </c>
      <c r="D321" t="e">
        <f>pinyin(B321)</f>
        <v>#NAME?</v>
      </c>
      <c r="E321" t="str">
        <f>IFERROR(__xludf.DUMMYFUNCTION("GOOGLETRANSLATE(B321,""zh"",""vi"")"),"gửi")</f>
        <v>gửi</v>
      </c>
      <c r="F321" t="str">
        <v>5. Đời sống sinh hoạt</v>
      </c>
    </row>
    <row r="322">
      <c r="A322">
        <v>321</v>
      </c>
      <c r="B322" t="str">
        <v>假</v>
      </c>
      <c r="D322" t="e">
        <f>pinyin(B322)</f>
        <v>#NAME?</v>
      </c>
      <c r="E322" t="str">
        <f>IFERROR(__xludf.DUMMYFUNCTION("GOOGLETRANSLATE(B322,""zh"",""vi"")"),"Giả mạo")</f>
        <v>Giả mạo</v>
      </c>
      <c r="F322" t="str">
        <v>5. Đời sống sinh hoạt</v>
      </c>
    </row>
    <row r="323">
      <c r="A323">
        <v>322</v>
      </c>
      <c r="B323" t="str">
        <v>加班</v>
      </c>
      <c r="D323" t="e">
        <f>pinyin(B323)</f>
        <v>#NAME?</v>
      </c>
      <c r="E323" t="str">
        <f>IFERROR(__xludf.DUMMYFUNCTION("GOOGLETRANSLATE(B323,""zh"",""vi"")"),"làm thêm giờ")</f>
        <v>làm thêm giờ</v>
      </c>
      <c r="F323" t="str">
        <v>10. Thời gian</v>
      </c>
    </row>
    <row r="324">
      <c r="A324">
        <v>323</v>
      </c>
      <c r="B324" t="str">
        <v>价格</v>
      </c>
      <c r="D324" t="e">
        <f>pinyin(B324)</f>
        <v>#NAME?</v>
      </c>
      <c r="E324" t="str">
        <f>IFERROR(__xludf.DUMMYFUNCTION("GOOGLETRANSLATE(B324,""zh"",""vi"")"),"giá ")</f>
        <v xml:space="preserve">giá </v>
      </c>
      <c r="F324" t="str">
        <v>5. Đời sống sinh hoạt</v>
      </c>
    </row>
    <row r="325">
      <c r="A325">
        <v>324</v>
      </c>
      <c r="B325" t="str">
        <v>家具</v>
      </c>
      <c r="D325" t="e">
        <f>pinyin(B325)</f>
        <v>#NAME?</v>
      </c>
      <c r="E325" t="str">
        <f>IFERROR(__xludf.DUMMYFUNCTION("GOOGLETRANSLATE(B325,""zh"",""vi"")"),"nội thất")</f>
        <v>nội thất</v>
      </c>
      <c r="F325" t="str">
        <v>5. Đời sống sinh hoạt</v>
      </c>
    </row>
    <row r="326">
      <c r="A326">
        <v>325</v>
      </c>
      <c r="B326" t="str">
        <v>加快</v>
      </c>
      <c r="D326" t="e">
        <f>pinyin(B326)</f>
        <v>#NAME?</v>
      </c>
      <c r="E326" t="str">
        <f>IFERROR(__xludf.DUMMYFUNCTION("GOOGLETRANSLATE(B326,""zh"",""vi"")"),"tăng tốc")</f>
        <v>tăng tốc</v>
      </c>
      <c r="F326" t="str">
        <v>5. Đời sống sinh hoạt</v>
      </c>
    </row>
    <row r="327">
      <c r="A327">
        <v>326</v>
      </c>
      <c r="B327" t="str">
        <v>减</v>
      </c>
      <c r="D327" t="e">
        <f>pinyin(B327)</f>
        <v>#NAME?</v>
      </c>
      <c r="E327" t="str">
        <f>IFERROR(__xludf.DUMMYFUNCTION("GOOGLETRANSLATE(B327,""zh"",""vi"")"),"giảm bớt")</f>
        <v>giảm bớt</v>
      </c>
      <c r="F327" t="str">
        <v>5. Đời sống sinh hoạt</v>
      </c>
    </row>
    <row r="328">
      <c r="A328">
        <v>327</v>
      </c>
      <c r="B328" t="str">
        <v>降</v>
      </c>
      <c r="D328" t="e">
        <f>pinyin(B328)</f>
        <v>#NAME?</v>
      </c>
      <c r="E328" t="str">
        <f>IFERROR(__xludf.DUMMYFUNCTION("GOOGLETRANSLATE(B328,""zh"",""vi"")"),"làm rơi")</f>
        <v>làm rơi</v>
      </c>
      <c r="F328" t="str">
        <v>5. Đời sống sinh hoạt</v>
      </c>
    </row>
    <row r="329">
      <c r="A329">
        <v>328</v>
      </c>
      <c r="B329" t="str">
        <v>奖</v>
      </c>
      <c r="D329" t="e">
        <f>pinyin(B329)</f>
        <v>#NAME?</v>
      </c>
      <c r="E329" t="str">
        <f>IFERROR(__xludf.DUMMYFUNCTION("GOOGLETRANSLATE(B329,""zh"",""vi"")"),"phần thưởng")</f>
        <v>phần thưởng</v>
      </c>
      <c r="F329" t="str">
        <v>5. Đời sống sinh hoạt</v>
      </c>
    </row>
    <row r="330">
      <c r="A330">
        <v>329</v>
      </c>
      <c r="B330" t="str">
        <v>江</v>
      </c>
      <c r="D330" t="e">
        <f>pinyin(B330)</f>
        <v>#NAME?</v>
      </c>
      <c r="E330" t="str">
        <f>IFERROR(__xludf.DUMMYFUNCTION("GOOGLETRANSLATE(B330,""zh"",""vi"")"),"Dòng sông")</f>
        <v>Dòng sông</v>
      </c>
      <c r="F330" t="str">
        <v>1. Con người &amp; Các mối quan hệ</v>
      </c>
    </row>
    <row r="331">
      <c r="A331">
        <v>330</v>
      </c>
      <c r="B331" t="str">
        <v>将</v>
      </c>
      <c r="D331" t="e">
        <f>pinyin(B331)</f>
        <v>#NAME?</v>
      </c>
      <c r="E331" t="str">
        <f>IFERROR(__xludf.DUMMYFUNCTION("GOOGLETRANSLATE(B331,""zh"",""vi"")"),"Sẽ")</f>
        <v>Sẽ</v>
      </c>
      <c r="F331" t="str">
        <v>5. Đời sống sinh hoạt</v>
      </c>
    </row>
    <row r="332">
      <c r="A332">
        <v>331</v>
      </c>
      <c r="B332" t="str">
        <v>降低</v>
      </c>
      <c r="D332" t="e">
        <f>pinyin(B332)</f>
        <v>#NAME?</v>
      </c>
      <c r="E332" t="str">
        <f>IFERROR(__xludf.DUMMYFUNCTION("GOOGLETRANSLATE(B332,""zh"",""vi"")"),"giảm bớt")</f>
        <v>giảm bớt</v>
      </c>
      <c r="F332" t="str">
        <v>5. Đời sống sinh hoạt</v>
      </c>
    </row>
    <row r="333">
      <c r="A333">
        <v>332</v>
      </c>
      <c r="B333" t="str">
        <v>降价</v>
      </c>
      <c r="D333" t="e">
        <f>pinyin(B333)</f>
        <v>#NAME?</v>
      </c>
      <c r="E333" t="str">
        <f>IFERROR(__xludf.DUMMYFUNCTION("GOOGLETRANSLATE(B333,""zh"",""vi"")"),"Giảm giá")</f>
        <v>Giảm giá</v>
      </c>
      <c r="F333" t="str">
        <v>5. Đời sống sinh hoạt</v>
      </c>
    </row>
    <row r="334">
      <c r="A334">
        <v>333</v>
      </c>
      <c r="B334" t="str">
        <v>奖金</v>
      </c>
      <c r="D334" t="e">
        <f>pinyin(B334)</f>
        <v>#NAME?</v>
      </c>
      <c r="E334" t="str">
        <f>IFERROR(__xludf.DUMMYFUNCTION("GOOGLETRANSLATE(B334,""zh"",""vi"")"),"thưởng")</f>
        <v>thưởng</v>
      </c>
      <c r="F334" t="str">
        <v>5. Đời sống sinh hoạt</v>
      </c>
    </row>
    <row r="335">
      <c r="A335">
        <v>334</v>
      </c>
      <c r="B335" t="str">
        <v>将来</v>
      </c>
      <c r="D335" t="e">
        <f>pinyin(B335)</f>
        <v>#NAME?</v>
      </c>
      <c r="E335" t="str">
        <f>IFERROR(__xludf.DUMMYFUNCTION("GOOGLETRANSLATE(B335,""zh"",""vi"")"),"tương lai")</f>
        <v>tương lai</v>
      </c>
      <c r="F335" t="str">
        <v>5. Đời sống sinh hoạt</v>
      </c>
    </row>
    <row r="336">
      <c r="A336">
        <v>335</v>
      </c>
      <c r="B336" t="str">
        <v>降落</v>
      </c>
      <c r="D336" t="e">
        <f>pinyin(B336)</f>
        <v>#NAME?</v>
      </c>
      <c r="E336" t="str">
        <f>IFERROR(__xludf.DUMMYFUNCTION("GOOGLETRANSLATE(B336,""zh"",""vi"")"),"hạ cánh")</f>
        <v>hạ cánh</v>
      </c>
      <c r="F336" t="str">
        <v>10. Thời gian</v>
      </c>
    </row>
    <row r="337">
      <c r="A337">
        <v>336</v>
      </c>
      <c r="B337" t="str">
        <v>降温</v>
      </c>
      <c r="D337" t="e">
        <f>pinyin(B337)</f>
        <v>#NAME?</v>
      </c>
      <c r="E337" t="str">
        <f>IFERROR(__xludf.DUMMYFUNCTION("GOOGLETRANSLATE(B337,""zh"",""vi"")"),"Làm mát")</f>
        <v>Làm mát</v>
      </c>
      <c r="F337" t="str">
        <v>5. Đời sống sinh hoạt</v>
      </c>
    </row>
    <row r="338">
      <c r="A338">
        <v>337</v>
      </c>
      <c r="B338" t="str">
        <v>奖学金</v>
      </c>
      <c r="D338" t="e">
        <f>pinyin(B338)</f>
        <v>#NAME?</v>
      </c>
      <c r="E338" t="str">
        <f>IFERROR(__xludf.DUMMYFUNCTION("GOOGLETRANSLATE(B338,""zh"",""vi"")"),"học bổng")</f>
        <v>học bổng</v>
      </c>
      <c r="F338" t="str">
        <v>1. Con người &amp; Các mối quan hệ</v>
      </c>
    </row>
    <row r="339">
      <c r="A339">
        <v>338</v>
      </c>
      <c r="B339" t="str">
        <v>将要</v>
      </c>
      <c r="D339" t="e">
        <f>pinyin(B339)</f>
        <v>#NAME?</v>
      </c>
      <c r="E339" t="str">
        <f>IFERROR(__xludf.DUMMYFUNCTION("GOOGLETRANSLATE(B339,""zh"",""vi"")"),"Sắp sửa")</f>
        <v>Sắp sửa</v>
      </c>
      <c r="F339" t="str">
        <v>5. Đời sống sinh hoạt</v>
      </c>
    </row>
    <row r="340">
      <c r="A340">
        <v>339</v>
      </c>
      <c r="B340" t="str">
        <v>减轻</v>
      </c>
      <c r="D340" t="e">
        <f>pinyin(B340)</f>
        <v>#NAME?</v>
      </c>
      <c r="E340" t="str">
        <f>IFERROR(__xludf.DUMMYFUNCTION("GOOGLETRANSLATE(B340,""zh"",""vi"")"),"Giảm bớt")</f>
        <v>Giảm bớt</v>
      </c>
      <c r="F340" t="str">
        <v>5. Đời sống sinh hoạt</v>
      </c>
    </row>
    <row r="341">
      <c r="A341">
        <v>340</v>
      </c>
      <c r="B341" t="str">
        <v>减少</v>
      </c>
      <c r="D341" t="e">
        <f>pinyin(B341)</f>
        <v>#NAME?</v>
      </c>
      <c r="E341" t="str">
        <f>IFERROR(__xludf.DUMMYFUNCTION("GOOGLETRANSLATE(B341,""zh"",""vi"")"),"giảm bớt")</f>
        <v>giảm bớt</v>
      </c>
      <c r="F341" t="str">
        <v>5. Đời sống sinh hoạt</v>
      </c>
    </row>
    <row r="342">
      <c r="A342">
        <v>341</v>
      </c>
      <c r="B342" t="str">
        <v>健身</v>
      </c>
      <c r="D342" t="e">
        <f>pinyin(B342)</f>
        <v>#NAME?</v>
      </c>
      <c r="E342" t="str">
        <f>IFERROR(__xludf.DUMMYFUNCTION("GOOGLETRANSLATE(B342,""zh"",""vi"")"),"sự thích hợp")</f>
        <v>sự thích hợp</v>
      </c>
      <c r="F342" t="str">
        <v>3. Cảm xúc &amp; Thái độ</v>
      </c>
    </row>
    <row r="343">
      <c r="A343">
        <v>342</v>
      </c>
      <c r="B343" t="str">
        <v>健身房</v>
      </c>
      <c r="D343" t="e">
        <f>pinyin(B343)</f>
        <v>#NAME?</v>
      </c>
      <c r="E343" t="str">
        <f>IFERROR(__xludf.DUMMYFUNCTION("GOOGLETRANSLATE(B343,""zh"",""vi"")"),"Phòng tập thể dục")</f>
        <v>Phòng tập thể dục</v>
      </c>
      <c r="F343" t="str">
        <v>7. Địa điểm &amp; Nơi chốn</v>
      </c>
    </row>
    <row r="344">
      <c r="A344">
        <v>343</v>
      </c>
      <c r="B344" t="str">
        <v>建议</v>
      </c>
      <c r="D344" t="e">
        <f>pinyin(B344)</f>
        <v>#NAME?</v>
      </c>
      <c r="E344" t="str">
        <f>IFERROR(__xludf.DUMMYFUNCTION("GOOGLETRANSLATE(B344,""zh"",""vi"")"),"gợi ý")</f>
        <v>gợi ý</v>
      </c>
      <c r="F344" t="str">
        <v>5. Đời sống sinh hoạt</v>
      </c>
    </row>
    <row r="345">
      <c r="A345">
        <v>344</v>
      </c>
      <c r="B345" t="str">
        <v>交</v>
      </c>
      <c r="D345" t="e">
        <f>pinyin(B345)</f>
        <v>#NAME?</v>
      </c>
      <c r="E345" t="str">
        <f>IFERROR(__xludf.DUMMYFUNCTION("GOOGLETRANSLATE(B345,""zh"",""vi"")"),"chi trả")</f>
        <v>chi trả</v>
      </c>
      <c r="F345" t="str">
        <v>5. Đời sống sinh hoạt</v>
      </c>
    </row>
    <row r="346">
      <c r="A346">
        <v>345</v>
      </c>
      <c r="D346" t="e">
        <f>pinyin(B346)</f>
        <v>#NAME?</v>
      </c>
      <c r="E346" t="str">
        <f>IFERROR(__xludf.DUMMYFUNCTION("GOOGLETRANSLATE(B346,""zh"",""vi"")"),"#VALUE!")</f>
        <v>#VALUE!</v>
      </c>
      <c r="F346" t="str">
        <v>3. Cảm xúc &amp; Thái độ</v>
      </c>
    </row>
    <row r="347">
      <c r="A347">
        <v>346</v>
      </c>
      <c r="D347" t="e">
        <f>pinyin(B347)</f>
        <v>#NAME?</v>
      </c>
      <c r="E347" t="str">
        <f>IFERROR(__xludf.DUMMYFUNCTION("GOOGLETRANSLATE(B347,""zh"",""vi"")"),"#VALUE!")</f>
        <v>#VALUE!</v>
      </c>
      <c r="F347" t="str">
        <v>7. Địa điểm &amp; Nơi chốn</v>
      </c>
    </row>
    <row r="348">
      <c r="A348">
        <v>347</v>
      </c>
      <c r="D348" t="e">
        <f>pinyin(B348)</f>
        <v>#NAME?</v>
      </c>
      <c r="E348" t="str">
        <f>IFERROR(__xludf.DUMMYFUNCTION("GOOGLETRANSLATE(B348,""zh"",""vi"")"),"#VALUE!")</f>
        <v>#VALUE!</v>
      </c>
      <c r="F348" t="str">
        <v>5. Đời sống sinh hoạt</v>
      </c>
    </row>
    <row r="349">
      <c r="A349">
        <v>348</v>
      </c>
      <c r="D349" t="e">
        <f>pinyin(B349)</f>
        <v>#NAME?</v>
      </c>
      <c r="E349" t="str">
        <f>IFERROR(__xludf.DUMMYFUNCTION("GOOGLETRANSLATE(B349,""zh"",""vi"")"),"#VALUE!")</f>
        <v>#VALUE!</v>
      </c>
      <c r="F349" t="str">
        <v>5. Đời sống sinh hoạt</v>
      </c>
    </row>
    <row r="350">
      <c r="A350">
        <v>349</v>
      </c>
      <c r="D350" t="e">
        <f>pinyin(B350)</f>
        <v>#NAME?</v>
      </c>
      <c r="E350" t="str">
        <f>IFERROR(__xludf.DUMMYFUNCTION("GOOGLETRANSLATE(B350,""zh"",""vi"")"),"#VALUE!")</f>
        <v>#VALUE!</v>
      </c>
      <c r="F350" t="str">
        <v>3. Cảm xúc &amp; Thái độ</v>
      </c>
    </row>
    <row r="351">
      <c r="A351">
        <v>350</v>
      </c>
      <c r="B351" t="str">
        <v>机构</v>
      </c>
      <c r="D351" t="str">
        <v>jīgòu</v>
      </c>
      <c r="E351" t="str">
        <f>IFERROR(__xludf.DUMMYFUNCTION("GOOGLETRANSLATE(B351,""zh"",""vi"")"),"cơ chế")</f>
        <v>cơ chế</v>
      </c>
      <c r="F351" t="str">
        <v>13. Miêu tả &amp; Đánh giá</v>
      </c>
    </row>
    <row r="352">
      <c r="A352">
        <v>351</v>
      </c>
      <c r="B352" t="str">
        <v>机遇</v>
      </c>
      <c r="D352" t="str">
        <v>jīyù</v>
      </c>
      <c r="E352" t="str">
        <f>IFERROR(__xludf.DUMMYFUNCTION("GOOGLETRANSLATE(B352,""zh"",""vi"")"),"cơ hội")</f>
        <v>cơ hội</v>
      </c>
      <c r="F352" t="str">
        <v>5. Đời sống sinh hoạt</v>
      </c>
    </row>
    <row r="353">
      <c r="A353">
        <v>352</v>
      </c>
      <c r="B353" t="str">
        <v>积累</v>
      </c>
      <c r="D353" t="str">
        <v>jīlěi</v>
      </c>
      <c r="E353" t="str">
        <f>IFERROR(__xludf.DUMMYFUNCTION("GOOGLETRANSLATE(B353,""zh"",""vi"")"),"sự tích lũy")</f>
        <v>sự tích lũy</v>
      </c>
      <c r="F353" t="str">
        <v>5. Đời sống sinh hoạt</v>
      </c>
    </row>
    <row r="354">
      <c r="A354">
        <v>353</v>
      </c>
      <c r="B354" t="str">
        <v>激动</v>
      </c>
      <c r="D354" t="str">
        <v>jīdòng</v>
      </c>
      <c r="E354" t="str">
        <f>IFERROR(__xludf.DUMMYFUNCTION("GOOGLETRANSLATE(B354,""zh"",""vi"")"),"Hào hứng")</f>
        <v>Hào hứng</v>
      </c>
      <c r="F354" t="str">
        <v>3. Cảm xúc &amp; Thái độ</v>
      </c>
    </row>
    <row r="355">
      <c r="A355">
        <v>354</v>
      </c>
      <c r="B355" t="str">
        <v>激烈</v>
      </c>
      <c r="D355" t="str">
        <v>jīliè</v>
      </c>
      <c r="E355" t="str">
        <f>IFERROR(__xludf.DUMMYFUNCTION("GOOGLETRANSLATE(B355,""zh"",""vi"")"),"mạnh mẽ")</f>
        <v>mạnh mẽ</v>
      </c>
      <c r="F355" t="str">
        <v>7. Địa điểm &amp; Nơi chốn</v>
      </c>
    </row>
    <row r="356">
      <c r="A356">
        <v>355</v>
      </c>
      <c r="B356" t="str">
        <v>及格</v>
      </c>
      <c r="D356" t="str">
        <v>jígé</v>
      </c>
      <c r="E356" t="str">
        <f>IFERROR(__xludf.DUMMYFUNCTION("GOOGLETRANSLATE(B356,""zh"",""vi"")"),"Vượt qua")</f>
        <v>Vượt qua</v>
      </c>
      <c r="F356" t="str">
        <v>5. Đời sống sinh hoạt</v>
      </c>
    </row>
    <row r="357">
      <c r="A357">
        <v>356</v>
      </c>
      <c r="B357" t="str">
        <v>极</v>
      </c>
      <c r="D357" t="str">
        <v>jí</v>
      </c>
      <c r="E357" t="str">
        <f>IFERROR(__xludf.DUMMYFUNCTION("GOOGLETRANSLATE(B357,""zh"",""vi"")"),"cột")</f>
        <v>cột</v>
      </c>
      <c r="F357" t="str">
        <v>5. Đời sống sinh hoạt</v>
      </c>
    </row>
    <row r="358">
      <c r="A358">
        <v>357</v>
      </c>
      <c r="B358" t="str">
        <v>极其</v>
      </c>
      <c r="D358" t="str">
        <v>jíqí</v>
      </c>
      <c r="E358" t="str">
        <f>IFERROR(__xludf.DUMMYFUNCTION("GOOGLETRANSLATE(B358,""zh"",""vi"")"),"vô cùng")</f>
        <v>vô cùng</v>
      </c>
      <c r="F358" t="str">
        <v>3. Cảm xúc &amp; Thái độ</v>
      </c>
    </row>
    <row r="359">
      <c r="A359">
        <v>358</v>
      </c>
      <c r="B359" t="str">
        <v>即将</v>
      </c>
      <c r="D359" t="str">
        <v>jíjiāng</v>
      </c>
      <c r="E359" t="str">
        <f>IFERROR(__xludf.DUMMYFUNCTION("GOOGLETRANSLATE(B359,""zh"",""vi"")"),"Sớm")</f>
        <v>Sớm</v>
      </c>
      <c r="F359" t="str">
        <v>7. Địa điểm &amp; Nơi chốn</v>
      </c>
    </row>
    <row r="360">
      <c r="A360">
        <v>359</v>
      </c>
      <c r="B360" t="str">
        <v>急忙</v>
      </c>
      <c r="D360" t="str">
        <v>jímáng</v>
      </c>
      <c r="E360" t="str">
        <f>IFERROR(__xludf.DUMMYFUNCTION("GOOGLETRANSLATE(B360,""zh"",""vi"")"),"vội vàng")</f>
        <v>vội vàng</v>
      </c>
      <c r="F360" t="str">
        <v>5. Đời sống sinh hoạt</v>
      </c>
    </row>
    <row r="361">
      <c r="A361">
        <v>360</v>
      </c>
      <c r="B361" t="str">
        <v>集合</v>
      </c>
      <c r="D361" t="str">
        <v>jíhé</v>
      </c>
      <c r="E361" t="str">
        <f>IFERROR(__xludf.DUMMYFUNCTION("GOOGLETRANSLATE(B361,""zh"",""vi"")"),"tập trung")</f>
        <v>tập trung</v>
      </c>
      <c r="F361" t="str">
        <v>5. Đời sống sinh hoạt</v>
      </c>
    </row>
    <row r="362">
      <c r="A362">
        <v>361</v>
      </c>
      <c r="B362" t="str">
        <v>记载</v>
      </c>
      <c r="D362" t="str">
        <v>jìzǎi</v>
      </c>
      <c r="E362" t="str">
        <f>IFERROR(__xludf.DUMMYFUNCTION("GOOGLETRANSLATE(B362,""zh"",""vi"")"),"Hồ sơ")</f>
        <v>Hồ sơ</v>
      </c>
      <c r="F362" t="str">
        <v>3. Cảm xúc &amp; Thái độ</v>
      </c>
    </row>
    <row r="363">
      <c r="A363">
        <v>362</v>
      </c>
      <c r="B363" t="str">
        <v>纪律</v>
      </c>
      <c r="D363" t="str">
        <v>jìlǜ</v>
      </c>
      <c r="E363" t="str">
        <f>IFERROR(__xludf.DUMMYFUNCTION("GOOGLETRANSLATE(B363,""zh"",""vi"")"),"kỷ luật")</f>
        <v>kỷ luật</v>
      </c>
      <c r="F363" t="str">
        <v>7. Địa điểm &amp; Nơi chốn</v>
      </c>
    </row>
    <row r="364">
      <c r="A364">
        <v>363</v>
      </c>
      <c r="B364" t="str">
        <v>技巧</v>
      </c>
      <c r="D364" t="str">
        <v>jìqiǎo</v>
      </c>
      <c r="E364" t="str">
        <f>IFERROR(__xludf.DUMMYFUNCTION("GOOGLETRANSLATE(B364,""zh"",""vi"")"),"Kỹ năng")</f>
        <v>Kỹ năng</v>
      </c>
      <c r="F364" t="str">
        <v>5. Đời sống sinh hoạt</v>
      </c>
    </row>
    <row r="365">
      <c r="A365">
        <v>364</v>
      </c>
      <c r="B365" t="str">
        <v>系</v>
      </c>
      <c r="D365" t="str">
        <v>xì</v>
      </c>
      <c r="E365" t="str">
        <f>IFERROR(__xludf.DUMMYFUNCTION("GOOGLETRANSLATE(B365,""zh"",""vi"")"),"Cà vạt")</f>
        <v>Cà vạt</v>
      </c>
      <c r="F365" t="str">
        <v>5. Đời sống sinh hoạt</v>
      </c>
    </row>
    <row r="366">
      <c r="A366">
        <v>365</v>
      </c>
      <c r="B366" t="str">
        <v>季</v>
      </c>
      <c r="D366" t="str">
        <v>jì</v>
      </c>
      <c r="E366" t="str">
        <f>IFERROR(__xludf.DUMMYFUNCTION("GOOGLETRANSLATE(B366,""zh"",""vi"")"),"mùa")</f>
        <v>mùa</v>
      </c>
      <c r="F366" t="str">
        <v>3. Cảm xúc &amp; Thái độ</v>
      </c>
    </row>
    <row r="367">
      <c r="A367">
        <v>366</v>
      </c>
      <c r="B367" t="str">
        <v>季度</v>
      </c>
      <c r="D367" t="str">
        <v>jìdù</v>
      </c>
      <c r="E367" t="str">
        <f>IFERROR(__xludf.DUMMYFUNCTION("GOOGLETRANSLATE(B367,""zh"",""vi"")"),"Một phần tư")</f>
        <v>Một phần tư</v>
      </c>
      <c r="F367" t="str">
        <v>7. Địa điểm &amp; Nơi chốn</v>
      </c>
    </row>
    <row r="368">
      <c r="A368">
        <v>367</v>
      </c>
      <c r="B368" t="str">
        <v>季节</v>
      </c>
      <c r="D368" t="str">
        <v>jìjié</v>
      </c>
      <c r="E368" t="str">
        <f>IFERROR(__xludf.DUMMYFUNCTION("GOOGLETRANSLATE(B368,""zh"",""vi"")"),"mùa")</f>
        <v>mùa</v>
      </c>
      <c r="F368" t="str">
        <v>5. Đời sống sinh hoạt</v>
      </c>
    </row>
    <row r="369">
      <c r="A369">
        <v>368</v>
      </c>
      <c r="B369" t="str">
        <v>既</v>
      </c>
      <c r="D369" t="str">
        <v>jì</v>
      </c>
      <c r="E369" t="str">
        <f>IFERROR(__xludf.DUMMYFUNCTION("GOOGLETRANSLATE(B369,""zh"",""vi"")"),"bây giờ thì")</f>
        <v>bây giờ thì</v>
      </c>
      <c r="F369" t="str">
        <v>5. Đời sống sinh hoạt</v>
      </c>
    </row>
    <row r="370">
      <c r="A370">
        <v>369</v>
      </c>
      <c r="B370" t="str">
        <v>既然</v>
      </c>
      <c r="D370" t="str">
        <v>jìrán</v>
      </c>
      <c r="E370" t="str">
        <f>IFERROR(__xludf.DUMMYFUNCTION("GOOGLETRANSLATE(B370,""zh"",""vi"")"),"bây giờ thì")</f>
        <v>bây giờ thì</v>
      </c>
      <c r="F370" t="str">
        <v>3. Cảm xúc &amp; Thái độ</v>
      </c>
    </row>
    <row r="371">
      <c r="A371">
        <v>370</v>
      </c>
      <c r="B371" t="str">
        <v>寄</v>
      </c>
      <c r="D371" t="str">
        <v>jì</v>
      </c>
      <c r="E371" t="str">
        <f>IFERROR(__xludf.DUMMYFUNCTION("GOOGLETRANSLATE(B371,""zh"",""vi"")"),"gửi")</f>
        <v>gửi</v>
      </c>
      <c r="F371" t="str">
        <v>7. Địa điểm &amp; Nơi chốn</v>
      </c>
    </row>
    <row r="372">
      <c r="A372">
        <v>371</v>
      </c>
      <c r="B372" t="str">
        <v>加班</v>
      </c>
      <c r="D372" t="str">
        <v>jiābān</v>
      </c>
      <c r="E372" t="str">
        <f>IFERROR(__xludf.DUMMYFUNCTION("GOOGLETRANSLATE(B372,""zh"",""vi"")"),"làm thêm giờ")</f>
        <v>làm thêm giờ</v>
      </c>
      <c r="F372" t="str">
        <v>5. Đời sống sinh hoạt</v>
      </c>
    </row>
    <row r="373">
      <c r="A373">
        <v>372</v>
      </c>
      <c r="B373" t="str">
        <v>加入</v>
      </c>
      <c r="D373" t="str">
        <v>jiārù</v>
      </c>
      <c r="E373" t="str">
        <f>IFERROR(__xludf.DUMMYFUNCTION("GOOGLETRANSLATE(B373,""zh"",""vi"")"),"tham gia")</f>
        <v>tham gia</v>
      </c>
      <c r="F373" t="str">
        <v>5. Đời sống sinh hoạt</v>
      </c>
    </row>
    <row r="374">
      <c r="A374">
        <v>373</v>
      </c>
      <c r="B374" t="str">
        <v>加油站</v>
      </c>
      <c r="D374" t="str">
        <v>jiāyóuzhàn</v>
      </c>
      <c r="E374" t="str">
        <f>IFERROR(__xludf.DUMMYFUNCTION("GOOGLETRANSLATE(B374,""zh"",""vi"")"),"Trạm xăng")</f>
        <v>Trạm xăng</v>
      </c>
      <c r="F374" t="str">
        <v>3. Cảm xúc &amp; Thái độ</v>
      </c>
    </row>
    <row r="375">
      <c r="A375">
        <v>374</v>
      </c>
      <c r="B375" t="str">
        <v>家务</v>
      </c>
      <c r="D375" t="str">
        <v>jiāwù</v>
      </c>
      <c r="E375" t="str">
        <f>IFERROR(__xludf.DUMMYFUNCTION("GOOGLETRANSLATE(B375,""zh"",""vi"")"),"việc nhà")</f>
        <v>việc nhà</v>
      </c>
      <c r="F375" t="str">
        <v>7. Địa điểm &amp; Nơi chốn</v>
      </c>
    </row>
    <row r="376">
      <c r="A376">
        <v>375</v>
      </c>
      <c r="B376" t="str">
        <v>假如</v>
      </c>
      <c r="D376" t="str">
        <v>jiǎrú</v>
      </c>
      <c r="E376" t="str">
        <f>IFERROR(__xludf.DUMMYFUNCTION("GOOGLETRANSLATE(B376,""zh"",""vi"")"),"nếu như")</f>
        <v>nếu như</v>
      </c>
      <c r="F376" t="str">
        <v>5. Đời sống sinh hoạt</v>
      </c>
    </row>
    <row r="377">
      <c r="A377">
        <v>376</v>
      </c>
      <c r="B377" t="str">
        <v>坚固</v>
      </c>
      <c r="D377" t="str">
        <v>jiāngù</v>
      </c>
      <c r="E377" t="str">
        <f>IFERROR(__xludf.DUMMYFUNCTION("GOOGLETRANSLATE(B377,""zh"",""vi"")"),"chắc chắn")</f>
        <v>chắc chắn</v>
      </c>
      <c r="F377" t="str">
        <v>5. Đời sống sinh hoạt</v>
      </c>
    </row>
    <row r="378">
      <c r="A378">
        <v>377</v>
      </c>
      <c r="B378" t="str">
        <v>检测</v>
      </c>
      <c r="D378" t="str">
        <v>jiǎn cè</v>
      </c>
      <c r="E378" t="str">
        <f>IFERROR(__xludf.DUMMYFUNCTION("GOOGLETRANSLATE(B378,""zh"",""vi"")"),"Phát hiện")</f>
        <v>Phát hiện</v>
      </c>
      <c r="F378" t="str">
        <v>3. Cảm xúc &amp; Thái độ</v>
      </c>
    </row>
    <row r="379">
      <c r="A379">
        <v>378</v>
      </c>
      <c r="B379" t="str">
        <v>减</v>
      </c>
      <c r="D379" t="str">
        <v>jiǎn</v>
      </c>
      <c r="E379" t="str">
        <f>IFERROR(__xludf.DUMMYFUNCTION("GOOGLETRANSLATE(B379,""zh"",""vi"")"),"giảm bớt")</f>
        <v>giảm bớt</v>
      </c>
      <c r="F379" t="str">
        <v>7. Địa điểm &amp; Nơi chốn</v>
      </c>
    </row>
    <row r="380">
      <c r="A380">
        <v>379</v>
      </c>
      <c r="B380" t="str">
        <v>减肥</v>
      </c>
      <c r="D380" t="str">
        <v>jiǎnféi</v>
      </c>
      <c r="E380" t="str">
        <f>IFERROR(__xludf.DUMMYFUNCTION("GOOGLETRANSLATE(B380,""zh"",""vi"")"),"giảm cân")</f>
        <v>giảm cân</v>
      </c>
      <c r="F380" t="str">
        <v>5. Đời sống sinh hoạt</v>
      </c>
    </row>
    <row r="381">
      <c r="A381">
        <v>380</v>
      </c>
      <c r="B381" t="str">
        <v>减少</v>
      </c>
      <c r="D381" t="str">
        <v>jiǎnshǎo</v>
      </c>
      <c r="E381" t="str">
        <f>IFERROR(__xludf.DUMMYFUNCTION("GOOGLETRANSLATE(B381,""zh"",""vi"")"),"giảm bớt")</f>
        <v>giảm bớt</v>
      </c>
      <c r="F381" t="str">
        <v>5. Đời sống sinh hoạt</v>
      </c>
    </row>
    <row r="382">
      <c r="A382">
        <v>381</v>
      </c>
      <c r="B382" t="str">
        <v>简历</v>
      </c>
      <c r="D382" t="str">
        <v>jiǎnlì</v>
      </c>
      <c r="E382" t="str">
        <f>IFERROR(__xludf.DUMMYFUNCTION("GOOGLETRANSLATE(B382,""zh"",""vi"")"),"CV")</f>
        <v>CV</v>
      </c>
      <c r="F382" t="str">
        <v>3. Cảm xúc &amp; Thái độ</v>
      </c>
    </row>
    <row r="383">
      <c r="A383">
        <v>382</v>
      </c>
      <c r="B383" t="str">
        <v>健身</v>
      </c>
      <c r="D383" t="str">
        <v>jiànshēn</v>
      </c>
      <c r="E383" t="str">
        <f>IFERROR(__xludf.DUMMYFUNCTION("GOOGLETRANSLATE(B383,""zh"",""vi"")"),"sự thích hợp")</f>
        <v>sự thích hợp</v>
      </c>
      <c r="F383" t="str">
        <v>7. Địa điểm &amp; Nơi chốn</v>
      </c>
    </row>
    <row r="384">
      <c r="A384">
        <v>383</v>
      </c>
      <c r="B384" t="str">
        <v>渐渐</v>
      </c>
      <c r="D384" t="str">
        <v>jiànjiàn</v>
      </c>
      <c r="E384" t="str">
        <f>IFERROR(__xludf.DUMMYFUNCTION("GOOGLETRANSLATE(B384,""zh"",""vi"")"),"dần dần")</f>
        <v>dần dần</v>
      </c>
      <c r="F384" t="str">
        <v>5. Đời sống sinh hoạt</v>
      </c>
    </row>
    <row r="385">
      <c r="A385">
        <v>384</v>
      </c>
      <c r="B385" t="str">
        <v>江</v>
      </c>
      <c r="D385" t="str">
        <v>jiāng</v>
      </c>
      <c r="E385" t="str">
        <f>IFERROR(__xludf.DUMMYFUNCTION("GOOGLETRANSLATE(B385,""zh"",""vi"")"),"Dòng sông")</f>
        <v>Dòng sông</v>
      </c>
      <c r="F385" t="str">
        <v>5. Đời sống sinh hoạt</v>
      </c>
    </row>
    <row r="386">
      <c r="A386">
        <v>385</v>
      </c>
      <c r="B386" t="str">
        <v>讲究</v>
      </c>
      <c r="D386" t="str">
        <v>jiǎngjiu</v>
      </c>
      <c r="E386" t="str">
        <f>IFERROR(__xludf.DUMMYFUNCTION("GOOGLETRANSLATE(B386,""zh"",""vi"")"),"Hãy chú ý đến")</f>
        <v>Hãy chú ý đến</v>
      </c>
      <c r="F386" t="str">
        <v>3. Cảm xúc &amp; Thái độ</v>
      </c>
    </row>
    <row r="387">
      <c r="A387">
        <v>386</v>
      </c>
      <c r="B387" t="str">
        <v>讲座</v>
      </c>
      <c r="D387" t="str">
        <v>jiǎngzuò</v>
      </c>
      <c r="E387" t="str">
        <f>IFERROR(__xludf.DUMMYFUNCTION("GOOGLETRANSLATE(B387,""zh"",""vi"")"),"Bài giảng")</f>
        <v>Bài giảng</v>
      </c>
      <c r="F387" t="str">
        <v>7. Địa điểm &amp; Nơi chốn</v>
      </c>
    </row>
    <row r="388">
      <c r="A388">
        <v>387</v>
      </c>
      <c r="B388" t="str">
        <v>奖</v>
      </c>
      <c r="D388" t="str">
        <v>jiǎng</v>
      </c>
      <c r="E388" t="str">
        <f>IFERROR(__xludf.DUMMYFUNCTION("GOOGLETRANSLATE(B388,""zh"",""vi"")"),"phần thưởng")</f>
        <v>phần thưởng</v>
      </c>
      <c r="F388" t="str">
        <v>5. Đời sống sinh hoạt</v>
      </c>
    </row>
    <row r="389">
      <c r="A389">
        <v>388</v>
      </c>
      <c r="B389" t="str">
        <v>奖金</v>
      </c>
      <c r="D389" t="str">
        <v>jiǎngjīn</v>
      </c>
      <c r="E389" t="str">
        <f>IFERROR(__xludf.DUMMYFUNCTION("GOOGLETRANSLATE(B389,""zh"",""vi"")"),"thưởng")</f>
        <v>thưởng</v>
      </c>
      <c r="F389" t="str">
        <v>5. Đời sống sinh hoạt</v>
      </c>
    </row>
    <row r="390">
      <c r="A390">
        <v>389</v>
      </c>
      <c r="B390" t="str">
        <v>奖学金</v>
      </c>
      <c r="D390" t="str">
        <v>jiǎngxuéjīn</v>
      </c>
      <c r="E390" t="str">
        <f>IFERROR(__xludf.DUMMYFUNCTION("GOOGLETRANSLATE(B390,""zh"",""vi"")"),"học bổng")</f>
        <v>học bổng</v>
      </c>
      <c r="F390" t="str">
        <v>3. Cảm xúc &amp; Thái độ</v>
      </c>
    </row>
    <row r="391">
      <c r="A391">
        <v>390</v>
      </c>
      <c r="B391" t="str">
        <v>降</v>
      </c>
      <c r="D391" t="str">
        <v>jiàng</v>
      </c>
      <c r="E391" t="str">
        <f>IFERROR(__xludf.DUMMYFUNCTION("GOOGLETRANSLATE(B391,""zh"",""vi"")"),"làm rơi")</f>
        <v>làm rơi</v>
      </c>
      <c r="F391" t="str">
        <v>7. Địa điểm &amp; Nơi chốn</v>
      </c>
    </row>
    <row r="392">
      <c r="A392">
        <v>391</v>
      </c>
      <c r="B392" t="str">
        <v>降低</v>
      </c>
      <c r="D392" t="str">
        <v>jiàngdī</v>
      </c>
      <c r="E392" t="str">
        <f>IFERROR(__xludf.DUMMYFUNCTION("GOOGLETRANSLATE(B392,""zh"",""vi"")"),"giảm bớt")</f>
        <v>giảm bớt</v>
      </c>
      <c r="F392" t="str">
        <v>5. Đời sống sinh hoạt</v>
      </c>
    </row>
    <row r="393">
      <c r="A393">
        <v>392</v>
      </c>
      <c r="B393" t="str">
        <v>降价</v>
      </c>
      <c r="D393" t="str">
        <v>jiàngjià</v>
      </c>
      <c r="E393" t="str">
        <f>IFERROR(__xludf.DUMMYFUNCTION("GOOGLETRANSLATE(B393,""zh"",""vi"")"),"Giảm giá")</f>
        <v>Giảm giá</v>
      </c>
      <c r="F393" t="str">
        <v>5. Đời sống sinh hoạt</v>
      </c>
    </row>
    <row r="394">
      <c r="A394">
        <v>393</v>
      </c>
      <c r="B394" t="str">
        <v>降落</v>
      </c>
      <c r="D394" t="str">
        <v>jiàngluò</v>
      </c>
      <c r="E394" t="str">
        <f>IFERROR(__xludf.DUMMYFUNCTION("GOOGLETRANSLATE(B394,""zh"",""vi"")"),"hạ cánh")</f>
        <v>hạ cánh</v>
      </c>
      <c r="F394" t="str">
        <v>3. Cảm xúc &amp; Thái độ</v>
      </c>
    </row>
    <row r="395">
      <c r="A395">
        <v>394</v>
      </c>
      <c r="B395" t="str">
        <v>降温</v>
      </c>
      <c r="D395" t="str">
        <v>jiàngwēn</v>
      </c>
      <c r="E395" t="str">
        <f>IFERROR(__xludf.DUMMYFUNCTION("GOOGLETRANSLATE(B395,""zh"",""vi"")"),"Làm mát")</f>
        <v>Làm mát</v>
      </c>
      <c r="F395" t="str">
        <v>7. Địa điểm &amp; Nơi chốn</v>
      </c>
    </row>
    <row r="396">
      <c r="A396">
        <v>395</v>
      </c>
      <c r="B396" t="str">
        <v>交换</v>
      </c>
      <c r="D396" t="str">
        <v>jiāohuàn</v>
      </c>
      <c r="E396" t="str">
        <f>IFERROR(__xludf.DUMMYFUNCTION("GOOGLETRANSLATE(B396,""zh"",""vi"")"),"trao đổi")</f>
        <v>trao đổi</v>
      </c>
      <c r="F396" t="str">
        <v>5. Đời sống sinh hoạt</v>
      </c>
    </row>
    <row r="397">
      <c r="A397">
        <v>396</v>
      </c>
      <c r="B397" t="str">
        <v>交际</v>
      </c>
      <c r="D397" t="str">
        <v>jiāojì</v>
      </c>
      <c r="E397" t="str">
        <f>IFERROR(__xludf.DUMMYFUNCTION("GOOGLETRANSLATE(B397,""zh"",""vi"")"),"giao tiếp")</f>
        <v>giao tiếp</v>
      </c>
      <c r="F397" t="str">
        <v>5. Đời sống sinh hoạt</v>
      </c>
    </row>
    <row r="398">
      <c r="A398">
        <v>397</v>
      </c>
      <c r="B398" t="str">
        <v>教授</v>
      </c>
      <c r="D398" t="str">
        <v>jiàoshòu</v>
      </c>
      <c r="E398" t="str">
        <f>IFERROR(__xludf.DUMMYFUNCTION("GOOGLETRANSLATE(B398,""zh"",""vi"")"),"giáo sư")</f>
        <v>giáo sư</v>
      </c>
      <c r="F398" t="str">
        <v>3. Cảm xúc &amp; Thái độ</v>
      </c>
    </row>
    <row r="399">
      <c r="A399">
        <v>398</v>
      </c>
      <c r="B399" t="str">
        <v>教训</v>
      </c>
      <c r="D399" t="str">
        <v>jiàoxùn</v>
      </c>
      <c r="E399" t="str">
        <f>IFERROR(__xludf.DUMMYFUNCTION("GOOGLETRANSLATE(B399,""zh"",""vi"")"),"bài học")</f>
        <v>bài học</v>
      </c>
      <c r="F399" t="str">
        <v>7. Địa điểm &amp; Nơi chốn</v>
      </c>
    </row>
    <row r="400">
      <c r="A400">
        <v>399</v>
      </c>
      <c r="B400" t="str">
        <v>阶段</v>
      </c>
      <c r="D400" t="str">
        <v>jiēduàn</v>
      </c>
      <c r="E400" t="str">
        <f>IFERROR(__xludf.DUMMYFUNCTION("GOOGLETRANSLATE(B400,""zh"",""vi"")"),"sân khấu")</f>
        <v>sân khấu</v>
      </c>
      <c r="F400" t="str">
        <v>5. Đời sống sinh hoạt</v>
      </c>
    </row>
    <row r="401">
      <c r="A401">
        <v>400</v>
      </c>
      <c r="B401" t="str">
        <v>街道</v>
      </c>
      <c r="D401" t="str">
        <v>jiēdào</v>
      </c>
      <c r="E401" t="str">
        <f>IFERROR(__xludf.DUMMYFUNCTION("GOOGLETRANSLATE(B401,""zh"",""vi"")"),"đường phố")</f>
        <v>đường phố</v>
      </c>
      <c r="F401" t="str">
        <v>5. Đời sống sinh hoạt</v>
      </c>
    </row>
    <row r="402">
      <c r="A402">
        <v>401</v>
      </c>
      <c r="B402" t="str">
        <v>节省</v>
      </c>
      <c r="D402" t="str">
        <v>jiéshěng</v>
      </c>
      <c r="E402" t="str">
        <f>IFERROR(__xludf.DUMMYFUNCTION("GOOGLETRANSLATE(B402,""zh"",""vi"")"),"cứu")</f>
        <v>cứu</v>
      </c>
      <c r="F402" t="str">
        <v>3. Cảm xúc &amp; Thái độ</v>
      </c>
    </row>
    <row r="403">
      <c r="A403">
        <v>402</v>
      </c>
      <c r="B403" t="str">
        <v>结</v>
      </c>
      <c r="D403" t="str">
        <v>jié</v>
      </c>
      <c r="E403" t="str">
        <f>IFERROR(__xludf.DUMMYFUNCTION("GOOGLETRANSLATE(B403,""zh"",""vi"")"),"Nút thắt")</f>
        <v>Nút thắt</v>
      </c>
      <c r="F403" t="str">
        <v>7. Địa điểm &amp; Nơi chốn</v>
      </c>
    </row>
    <row r="404">
      <c r="A404">
        <v>403</v>
      </c>
      <c r="B404" t="str">
        <v>结构</v>
      </c>
      <c r="D404" t="str">
        <v>jiégòu</v>
      </c>
      <c r="E404" t="str">
        <f>IFERROR(__xludf.DUMMYFUNCTION("GOOGLETRANSLATE(B404,""zh"",""vi"")"),"kết cấu")</f>
        <v>kết cấu</v>
      </c>
      <c r="F404" t="str">
        <v>5. Đời sống sinh hoạt</v>
      </c>
    </row>
    <row r="405">
      <c r="A405">
        <v>404</v>
      </c>
      <c r="B405" t="str">
        <v>结论</v>
      </c>
      <c r="D405" t="str">
        <v>jiélùn</v>
      </c>
      <c r="E405" t="str">
        <f>IFERROR(__xludf.DUMMYFUNCTION("GOOGLETRANSLATE(B405,""zh"",""vi"")"),"tóm lại")</f>
        <v>tóm lại</v>
      </c>
      <c r="F405" t="str">
        <v>5. Đời sống sinh hoạt</v>
      </c>
    </row>
    <row r="406">
      <c r="A406">
        <v>405</v>
      </c>
      <c r="B406" t="str">
        <v>姐妹</v>
      </c>
      <c r="D406" t="str">
        <v>jiě mèi</v>
      </c>
      <c r="E406" t="str">
        <f>IFERROR(__xludf.DUMMYFUNCTION("GOOGLETRANSLATE(B406,""zh"",""vi"")"),"chị em gái")</f>
        <v>chị em gái</v>
      </c>
      <c r="F406" t="str">
        <v>3. Cảm xúc &amp; Thái độ</v>
      </c>
    </row>
    <row r="407">
      <c r="A407">
        <v>406</v>
      </c>
      <c r="B407" t="str">
        <v>解释</v>
      </c>
      <c r="D407" t="str">
        <v>jiěshì</v>
      </c>
      <c r="E407" t="str">
        <f>IFERROR(__xludf.DUMMYFUNCTION("GOOGLETRANSLATE(B407,""zh"",""vi"")"),"giải thích")</f>
        <v>giải thích</v>
      </c>
      <c r="F407" t="str">
        <v>4. Tư duy &amp; Nhận thức</v>
      </c>
    </row>
    <row r="408">
      <c r="A408">
        <v>407</v>
      </c>
      <c r="B408" t="str">
        <v>尽快</v>
      </c>
      <c r="D408" t="str">
        <v>jǐnkuài</v>
      </c>
      <c r="E408" t="str">
        <f>IFERROR(__xludf.DUMMYFUNCTION("GOOGLETRANSLATE(B408,""zh"",""vi"")"),"Càng sớm càng tốt")</f>
        <v>Càng sớm càng tốt</v>
      </c>
      <c r="F408" t="str">
        <v>10. Thời gian</v>
      </c>
    </row>
    <row r="409">
      <c r="A409">
        <v>408</v>
      </c>
      <c r="B409" t="str">
        <v>紧密</v>
      </c>
      <c r="D409" t="str">
        <v>jǐn mì</v>
      </c>
      <c r="E409" t="str">
        <f>IFERROR(__xludf.DUMMYFUNCTION("GOOGLETRANSLATE(B409,""zh"",""vi"")"),"đóng")</f>
        <v>đóng</v>
      </c>
      <c r="F409" t="str">
        <v>13. Miêu tả &amp; Đánh giá</v>
      </c>
    </row>
    <row r="410">
      <c r="A410">
        <v>409</v>
      </c>
      <c r="B410" t="str">
        <v>尽力</v>
      </c>
      <c r="D410" t="str">
        <v>jǐnlì</v>
      </c>
      <c r="E410" t="str">
        <f>IFERROR(__xludf.DUMMYFUNCTION("GOOGLETRANSLATE(B410,""zh"",""vi"")"),"Hãy cố gắng hết sức mình")</f>
        <v>Hãy cố gắng hết sức mình</v>
      </c>
      <c r="F410" t="str">
        <v>3. Cảm xúc &amp; Thái độ</v>
      </c>
    </row>
    <row r="411">
      <c r="A411">
        <v>410</v>
      </c>
      <c r="B411" t="str">
        <v>进口</v>
      </c>
      <c r="D411" t="str">
        <v>jìnkǒu</v>
      </c>
      <c r="E411" t="str">
        <f>IFERROR(__xludf.DUMMYFUNCTION("GOOGLETRANSLATE(B411,""zh"",""vi"")"),"nhập khẩu")</f>
        <v>nhập khẩu</v>
      </c>
      <c r="F411" t="str">
        <v>12. Công việc &amp; Nghề nghiệp</v>
      </c>
    </row>
    <row r="412">
      <c r="A412">
        <v>411</v>
      </c>
      <c r="B412" t="str">
        <v>近代</v>
      </c>
      <c r="D412" t="str">
        <v>jìndài</v>
      </c>
      <c r="E412" t="str">
        <f>IFERROR(__xludf.DUMMYFUNCTION("GOOGLETRANSLATE(B412,""zh"",""vi"")"),"Thời hiện đại")</f>
        <v>Thời hiện đại</v>
      </c>
      <c r="F412" t="str">
        <v>10. Thời gian</v>
      </c>
    </row>
    <row r="413">
      <c r="A413">
        <v>412</v>
      </c>
      <c r="B413" t="str">
        <v>禁止</v>
      </c>
      <c r="D413" t="str">
        <v>jìnzhǐ</v>
      </c>
      <c r="E413" t="str">
        <f>IFERROR(__xludf.DUMMYFUNCTION("GOOGLETRANSLATE(B413,""zh"",""vi"")"),"cấm")</f>
        <v>cấm</v>
      </c>
      <c r="F413" t="str">
        <v>12. Công việc &amp; Nghề nghiệp</v>
      </c>
    </row>
    <row r="414">
      <c r="A414">
        <v>413</v>
      </c>
      <c r="B414" t="str">
        <v>经典</v>
      </c>
      <c r="D414" t="str">
        <v>jīngdiǎn</v>
      </c>
      <c r="E414" t="str">
        <f>IFERROR(__xludf.DUMMYFUNCTION("GOOGLETRANSLATE(B414,""zh"",""vi"")"),"cổ điển")</f>
        <v>cổ điển</v>
      </c>
      <c r="F414" t="str">
        <v>13. Miêu tả &amp; Đánh giá</v>
      </c>
    </row>
    <row r="415">
      <c r="A415">
        <v>414</v>
      </c>
      <c r="B415" t="str">
        <v>精力</v>
      </c>
      <c r="D415" t="str">
        <v>jīnglì</v>
      </c>
      <c r="E415" t="str">
        <f>IFERROR(__xludf.DUMMYFUNCTION("GOOGLETRANSLATE(B415,""zh"",""vi"")"),"năng lượng")</f>
        <v>năng lượng</v>
      </c>
      <c r="F415" t="str">
        <v>2. Cơ thể &amp; Sức khỏe</v>
      </c>
    </row>
    <row r="416">
      <c r="A416">
        <v>415</v>
      </c>
      <c r="B416" t="str">
        <v>竟然</v>
      </c>
      <c r="D416" t="str">
        <v>jìngrán</v>
      </c>
      <c r="E416" t="str">
        <f>IFERROR(__xludf.DUMMYFUNCTION("GOOGLETRANSLATE(B416,""zh"",""vi"")"),"hóa ra")</f>
        <v>hóa ra</v>
      </c>
      <c r="F416" t="str">
        <v>15. Công cụ ngữ pháp &amp; Cấu trúc</v>
      </c>
    </row>
    <row r="417">
      <c r="A417">
        <v>416</v>
      </c>
      <c r="B417" t="str">
        <v>镜头</v>
      </c>
      <c r="D417" t="str">
        <v>jìngtóu</v>
      </c>
      <c r="E417" t="str">
        <f>IFERROR(__xludf.DUMMYFUNCTION("GOOGLETRANSLATE(B417,""zh"",""vi"")"),"ống kính")</f>
        <v>ống kính</v>
      </c>
      <c r="F417" t="str">
        <v>6. Đồ vật &amp; Công cụ</v>
      </c>
    </row>
    <row r="418">
      <c r="A418">
        <v>417</v>
      </c>
      <c r="B418" t="str">
        <v>镜子</v>
      </c>
      <c r="D418" t="str">
        <v>jìngzi</v>
      </c>
      <c r="E418" t="str">
        <f>IFERROR(__xludf.DUMMYFUNCTION("GOOGLETRANSLATE(B418,""zh"",""vi"")"),"Gương")</f>
        <v>Gương</v>
      </c>
      <c r="F418" t="str">
        <v>6. Đồ vật &amp; Công cụ</v>
      </c>
    </row>
    <row r="419">
      <c r="A419">
        <v>418</v>
      </c>
      <c r="B419" t="str">
        <v>究竟</v>
      </c>
      <c r="D419" t="str">
        <v>jiūjìng</v>
      </c>
      <c r="E419" t="str">
        <f>IFERROR(__xludf.DUMMYFUNCTION("GOOGLETRANSLATE(B419,""zh"",""vi"")"),"sau tất cả")</f>
        <v>sau tất cả</v>
      </c>
      <c r="F419" t="str">
        <v>15. Công cụ ngữ pháp &amp; Cấu trúc</v>
      </c>
    </row>
    <row r="420">
      <c r="A420">
        <v>419</v>
      </c>
      <c r="B420" t="str">
        <v>酒吧</v>
      </c>
      <c r="D420" t="str">
        <v>jiǔbā</v>
      </c>
      <c r="E420" t="str">
        <f>IFERROR(__xludf.DUMMYFUNCTION("GOOGLETRANSLATE(B420,""zh"",""vi"")"),"thanh")</f>
        <v>thanh</v>
      </c>
      <c r="F420" t="str">
        <v>7. Địa điểm &amp; Nơi chốn</v>
      </c>
    </row>
    <row r="421">
      <c r="A421">
        <v>420</v>
      </c>
      <c r="B421" t="str">
        <v>居民</v>
      </c>
      <c r="D421" t="str">
        <v>jūmín</v>
      </c>
      <c r="E421" t="str">
        <f>IFERROR(__xludf.DUMMYFUNCTION("GOOGLETRANSLATE(B421,""zh"",""vi"")"),"người dân")</f>
        <v>người dân</v>
      </c>
      <c r="F421" t="str">
        <v>1. Con người &amp; Các mối quan hệ</v>
      </c>
    </row>
    <row r="422">
      <c r="A422">
        <v>421</v>
      </c>
      <c r="B422" t="str">
        <v>居住</v>
      </c>
      <c r="D422" t="str">
        <v>jūzhù</v>
      </c>
      <c r="E422" t="str">
        <f>IFERROR(__xludf.DUMMYFUNCTION("GOOGLETRANSLATE(B422,""zh"",""vi"")"),"sống")</f>
        <v>sống</v>
      </c>
      <c r="F422" t="str">
        <v>5. Đời sống sinh hoạt</v>
      </c>
    </row>
    <row r="423">
      <c r="A423">
        <v>422</v>
      </c>
      <c r="B423" t="str">
        <v>局（名）</v>
      </c>
      <c r="D423" t="str">
        <v>jú</v>
      </c>
      <c r="E423" t="str">
        <f>IFERROR(__xludf.DUMMYFUNCTION("GOOGLETRANSLATE(B423,""zh"",""vi"")"),"Cục (tên)")</f>
        <v>Cục (tên)</v>
      </c>
      <c r="F423" t="str">
        <v>12. Công việc &amp; Nghề nghiệp</v>
      </c>
    </row>
    <row r="424">
      <c r="A424">
        <v>423</v>
      </c>
      <c r="B424" t="str">
        <v>巨大</v>
      </c>
      <c r="D424" t="str">
        <v>jùdà</v>
      </c>
      <c r="E424" t="str">
        <f>IFERROR(__xludf.DUMMYFUNCTION("GOOGLETRANSLATE(B424,""zh"",""vi"")"),"to lớn")</f>
        <v>to lớn</v>
      </c>
      <c r="F424" t="str">
        <v>13. Miêu tả &amp; Đánh giá</v>
      </c>
    </row>
    <row r="425">
      <c r="A425">
        <v>424</v>
      </c>
      <c r="B425" t="str">
        <v>具备</v>
      </c>
      <c r="D425" t="str">
        <v>jùbèi</v>
      </c>
      <c r="E425" t="str">
        <f>IFERROR(__xludf.DUMMYFUNCTION("GOOGLETRANSLATE(B425,""zh"",""vi"")"),"có")</f>
        <v>có</v>
      </c>
      <c r="F425" t="str">
        <v>13. Miêu tả &amp; Đánh giá</v>
      </c>
    </row>
    <row r="426">
      <c r="A426">
        <v>425</v>
      </c>
      <c r="B426" t="str">
        <v>距离</v>
      </c>
      <c r="D426" t="str">
        <v>jùlí</v>
      </c>
      <c r="E426" t="str">
        <f>IFERROR(__xludf.DUMMYFUNCTION("GOOGLETRANSLATE(B426,""zh"",""vi"")"),"khoảng cách")</f>
        <v>khoảng cách</v>
      </c>
      <c r="F426" t="str">
        <v>9. Không gian &amp; Vị trí</v>
      </c>
    </row>
    <row r="427">
      <c r="A427">
        <v>426</v>
      </c>
      <c r="B427" t="str">
        <v>聚</v>
      </c>
      <c r="D427" t="str">
        <v>jù</v>
      </c>
      <c r="E427" t="str">
        <f>IFERROR(__xludf.DUMMYFUNCTION("GOOGLETRANSLATE(B427,""zh"",""vi"")"),"Tập trung")</f>
        <v>Tập trung</v>
      </c>
      <c r="F427" t="str">
        <v>5. Đời sống sinh hoạt</v>
      </c>
    </row>
    <row r="428">
      <c r="A428">
        <v>427</v>
      </c>
      <c r="B428" t="str">
        <v>聚会</v>
      </c>
      <c r="D428" t="str">
        <v>jùhuì</v>
      </c>
      <c r="E428" t="str">
        <f>IFERROR(__xludf.DUMMYFUNCTION("GOOGLETRANSLATE(B428,""zh"",""vi"")"),"đoàn tụ")</f>
        <v>đoàn tụ</v>
      </c>
      <c r="F428" t="str">
        <v>5. Đời sống sinh hoạt</v>
      </c>
    </row>
    <row r="429">
      <c r="A429">
        <v>428</v>
      </c>
      <c r="B429" t="str">
        <v>卷</v>
      </c>
      <c r="D429" t="str">
        <v>juǎn</v>
      </c>
      <c r="E429" t="str">
        <f>IFERROR(__xludf.DUMMYFUNCTION("GOOGLETRANSLATE(B429,""zh"",""vi"")"),"cuộn")</f>
        <v>cuộn</v>
      </c>
      <c r="F429" t="str">
        <v>14. Số lượng &amp; Đo lường</v>
      </c>
    </row>
    <row r="430">
      <c r="A430">
        <v>429</v>
      </c>
      <c r="B430" t="str">
        <v>卷</v>
      </c>
      <c r="D430" t="str">
        <v>juàn</v>
      </c>
      <c r="E430" t="str">
        <f>IFERROR(__xludf.DUMMYFUNCTION("GOOGLETRANSLATE(B430,""zh"",""vi"")"),"cuộn")</f>
        <v>cuộn</v>
      </c>
      <c r="F430" t="str">
        <v>14. Số lượng &amp; Đo lường</v>
      </c>
    </row>
    <row r="431">
      <c r="A431">
        <v>430</v>
      </c>
      <c r="B431" t="str">
        <v>角色</v>
      </c>
      <c r="D431" t="str">
        <v>juésè</v>
      </c>
      <c r="E431" t="str">
        <f>IFERROR(__xludf.DUMMYFUNCTION("GOOGLETRANSLATE(B431,""zh"",""vi"")"),"Vai trò")</f>
        <v>Vai trò</v>
      </c>
      <c r="F431" t="str">
        <v>12. Công việc &amp; Nghề nghiệp</v>
      </c>
    </row>
    <row r="432">
      <c r="A432">
        <v>431</v>
      </c>
      <c r="B432" t="str">
        <v>开花</v>
      </c>
      <c r="D432" t="str">
        <v>kāi huā</v>
      </c>
      <c r="E432" t="str">
        <f>IFERROR(__xludf.DUMMYFUNCTION("GOOGLETRANSLATE(B432,""zh"",""vi"")"),"ra hoa")</f>
        <v>ra hoa</v>
      </c>
      <c r="F432" t="str">
        <v>16. Tự nhiên</v>
      </c>
    </row>
    <row r="433">
      <c r="A433">
        <v>432</v>
      </c>
      <c r="B433" t="str">
        <v>开水</v>
      </c>
      <c r="D433" t="str">
        <v>kāishuǐ</v>
      </c>
      <c r="E433" t="str">
        <f>IFERROR(__xludf.DUMMYFUNCTION("GOOGLETRANSLATE(B433,""zh"",""vi"")"),"nước sôi")</f>
        <v>nước sôi</v>
      </c>
      <c r="F433" t="str">
        <v>5. Đời sống sinh hoạt</v>
      </c>
    </row>
    <row r="434">
      <c r="A434">
        <v>433</v>
      </c>
      <c r="B434" t="str">
        <v>看不起</v>
      </c>
      <c r="D434" t="str">
        <v>kànbuqǐ</v>
      </c>
      <c r="E434" t="str">
        <f>IFERROR(__xludf.DUMMYFUNCTION("GOOGLETRANSLATE(B434,""zh"",""vi"")"),"khinh miệt")</f>
        <v>khinh miệt</v>
      </c>
      <c r="F434" t="str">
        <v>3. Cảm xúc &amp; Thái độ</v>
      </c>
    </row>
    <row r="435">
      <c r="A435">
        <v>434</v>
      </c>
      <c r="B435" t="str">
        <v>看来</v>
      </c>
      <c r="D435" t="str">
        <v>kàn lái</v>
      </c>
      <c r="E435" t="str">
        <f>IFERROR(__xludf.DUMMYFUNCTION("GOOGLETRANSLATE(B435,""zh"",""vi"")"),"Có vẻ như vậy")</f>
        <v>Có vẻ như vậy</v>
      </c>
      <c r="F435" t="str">
        <v>4. Tư duy &amp; Nhận thức</v>
      </c>
    </row>
    <row r="436">
      <c r="A436">
        <v>435</v>
      </c>
      <c r="B436" t="str">
        <v>看望</v>
      </c>
      <c r="D436" t="str">
        <v>kànwàng</v>
      </c>
      <c r="E436" t="str">
        <f>IFERROR(__xludf.DUMMYFUNCTION("GOOGLETRANSLATE(B436,""zh"",""vi"")"),"thăm nom")</f>
        <v>thăm nom</v>
      </c>
      <c r="F436" t="str">
        <v>1. Con người &amp; Các mối quan hệ</v>
      </c>
    </row>
    <row r="437">
      <c r="A437">
        <v>436</v>
      </c>
      <c r="B437" t="str">
        <v>考察</v>
      </c>
      <c r="D437" t="str">
        <v>kǎochá</v>
      </c>
      <c r="E437" t="str">
        <f>IFERROR(__xludf.DUMMYFUNCTION("GOOGLETRANSLATE(B437,""zh"",""vi"")"),"Cuộc điều tra")</f>
        <v>Cuộc điều tra</v>
      </c>
      <c r="F437" t="str">
        <v>12. Công việc &amp; Nghề nghiệp</v>
      </c>
    </row>
    <row r="438">
      <c r="A438">
        <v>437</v>
      </c>
      <c r="B438" t="str">
        <v>考虑</v>
      </c>
      <c r="D438" t="str">
        <v>kǎolǜ</v>
      </c>
      <c r="E438" t="str">
        <f>IFERROR(__xludf.DUMMYFUNCTION("GOOGLETRANSLATE(B438,""zh"",""vi"")"),"coi như")</f>
        <v>coi như</v>
      </c>
      <c r="F438" t="str">
        <v>4. Tư duy &amp; Nhận thức</v>
      </c>
    </row>
    <row r="439">
      <c r="A439">
        <v>438</v>
      </c>
      <c r="B439" t="str">
        <v>咳</v>
      </c>
      <c r="D439" t="str">
        <v>kē</v>
      </c>
      <c r="E439" t="str">
        <f>IFERROR(__xludf.DUMMYFUNCTION("GOOGLETRANSLATE(B439,""zh"",""vi"")"),"ho")</f>
        <v>ho</v>
      </c>
      <c r="F439" t="str">
        <v>2. Cơ thể &amp; Sức khỏe</v>
      </c>
    </row>
    <row r="440">
      <c r="A440">
        <v>439</v>
      </c>
      <c r="B440" t="str">
        <v>可见</v>
      </c>
      <c r="D440" t="str">
        <v>kějiàn</v>
      </c>
      <c r="E440" t="str">
        <f>IFERROR(__xludf.DUMMYFUNCTION("GOOGLETRANSLATE(B440,""zh"",""vi"")"),"dễ thấy")</f>
        <v>dễ thấy</v>
      </c>
      <c r="F440" t="str">
        <v>4. Tư duy &amp; Nhận thức</v>
      </c>
    </row>
    <row r="441">
      <c r="A441">
        <v>440</v>
      </c>
      <c r="B441" t="str">
        <v>空间</v>
      </c>
      <c r="D441" t="str">
        <v>kōngjiān</v>
      </c>
      <c r="E441" t="str">
        <f>IFERROR(__xludf.DUMMYFUNCTION("GOOGLETRANSLATE(B441,""zh"",""vi"")"),"không gian")</f>
        <v>không gian</v>
      </c>
      <c r="F441" t="str">
        <v>9. Không gian &amp; Vị trí</v>
      </c>
    </row>
    <row r="442">
      <c r="A442">
        <v>441</v>
      </c>
      <c r="B442" t="str">
        <v>空</v>
      </c>
      <c r="D442" t="str">
        <v>kōng</v>
      </c>
      <c r="E442" t="str">
        <f>IFERROR(__xludf.DUMMYFUNCTION("GOOGLETRANSLATE(B442,""zh"",""vi"")"),"vô giá trị")</f>
        <v>vô giá trị</v>
      </c>
      <c r="F442" t="str">
        <v>13. Miêu tả &amp; Đánh giá</v>
      </c>
    </row>
    <row r="443">
      <c r="A443">
        <v>442</v>
      </c>
      <c r="B443" t="str">
        <v>口袋</v>
      </c>
      <c r="D443" t="str">
        <v>kǒu dài</v>
      </c>
      <c r="E443" t="str">
        <f>IFERROR(__xludf.DUMMYFUNCTION("GOOGLETRANSLATE(B443,""zh"",""vi"")"),"túi")</f>
        <v>túi</v>
      </c>
      <c r="F443" t="str">
        <v>6. Đồ vật &amp; Công cụ</v>
      </c>
    </row>
    <row r="444">
      <c r="A444">
        <v>443</v>
      </c>
      <c r="B444" t="str">
        <v>口语</v>
      </c>
      <c r="D444" t="str">
        <v>kǒu yǔ</v>
      </c>
      <c r="E444" t="str">
        <f>IFERROR(__xludf.DUMMYFUNCTION("GOOGLETRANSLATE(B444,""zh"",""vi"")"),"Ngôn ngữ nói")</f>
        <v>Ngôn ngữ nói</v>
      </c>
      <c r="F444" t="str">
        <v>5. Đời sống sinh hoạt</v>
      </c>
    </row>
    <row r="445">
      <c r="A445">
        <v>444</v>
      </c>
      <c r="B445" t="str">
        <v>苦</v>
      </c>
      <c r="D445" t="str">
        <v>kǔ</v>
      </c>
      <c r="E445" t="str">
        <f>IFERROR(__xludf.DUMMYFUNCTION("GOOGLETRANSLATE(B445,""zh"",""vi"")"),"vị đắng")</f>
        <v>vị đắng</v>
      </c>
      <c r="F445" t="str">
        <v>13. Miêu tả &amp; Đánh giá</v>
      </c>
    </row>
    <row r="446">
      <c r="A446">
        <v>445</v>
      </c>
      <c r="B446" t="str">
        <v>会计</v>
      </c>
      <c r="D446" t="str">
        <v>kuàijì</v>
      </c>
      <c r="E446" t="str">
        <f>IFERROR(__xludf.DUMMYFUNCTION("GOOGLETRANSLATE(B446,""zh"",""vi"")"),"Kế toán")</f>
        <v>Kế toán</v>
      </c>
      <c r="F446" t="str">
        <v>12. Công việc &amp; Nghề nghiệp</v>
      </c>
    </row>
    <row r="447">
      <c r="A447">
        <v>446</v>
      </c>
      <c r="B447" t="str">
        <v>快递</v>
      </c>
      <c r="D447" t="str">
        <v>kuài dì</v>
      </c>
      <c r="E447" t="str">
        <f>IFERROR(__xludf.DUMMYFUNCTION("GOOGLETRANSLATE(B447,""zh"",""vi"")"),"giao hàng nhanh")</f>
        <v>giao hàng nhanh</v>
      </c>
      <c r="F447" t="str">
        <v>5. Đời sống sinh hoạt</v>
      </c>
    </row>
    <row r="448">
      <c r="A448">
        <v>447</v>
      </c>
      <c r="B448" t="str">
        <v>宽</v>
      </c>
      <c r="D448" t="str">
        <v>kuān</v>
      </c>
      <c r="E448" t="str">
        <f>IFERROR(__xludf.DUMMYFUNCTION("GOOGLETRANSLATE(B448,""zh"",""vi"")"),"Chiều rộng")</f>
        <v>Chiều rộng</v>
      </c>
      <c r="F448" t="str">
        <v>13. Miêu tả &amp; Đánh giá</v>
      </c>
    </row>
    <row r="449">
      <c r="A449">
        <v>448</v>
      </c>
      <c r="B449" t="str">
        <v>宽广</v>
      </c>
      <c r="D449" t="str">
        <v>kuān guǎng</v>
      </c>
      <c r="E449" t="str">
        <f>IFERROR(__xludf.DUMMYFUNCTION("GOOGLETRANSLATE(B449,""zh"",""vi"")"),"rộng")</f>
        <v>rộng</v>
      </c>
      <c r="F449" t="str">
        <v>13. Miêu tả &amp; Đánh giá</v>
      </c>
    </row>
    <row r="450">
      <c r="A450">
        <v>449</v>
      </c>
      <c r="B450" t="str">
        <v>矿泉水</v>
      </c>
      <c r="D450" t="str">
        <v>kuàngquánshuǐ</v>
      </c>
      <c r="E450" t="str">
        <f>IFERROR(__xludf.DUMMYFUNCTION("GOOGLETRANSLATE(B450,""zh"",""vi"")"),"nước khoáng")</f>
        <v>nước khoáng</v>
      </c>
      <c r="F450" t="str">
        <v>5. Đời sống sinh hoạt</v>
      </c>
    </row>
    <row r="451">
      <c r="A451">
        <v>450</v>
      </c>
      <c r="B451" t="str">
        <v>扩大</v>
      </c>
      <c r="D451" t="str">
        <v>kuòdà</v>
      </c>
      <c r="E451" t="str">
        <f>IFERROR(__xludf.DUMMYFUNCTION("GOOGLETRANSLATE(B451,""zh"",""vi"")"),"mở rộng")</f>
        <v>mở rộng</v>
      </c>
      <c r="F451" t="str">
        <v>14. Số lượng &amp; Đo lường</v>
      </c>
    </row>
    <row r="452">
      <c r="A452">
        <v>451</v>
      </c>
      <c r="B452" t="str">
        <v>扩展</v>
      </c>
      <c r="D452" t="str">
        <v>kuòzhǎn</v>
      </c>
      <c r="E452" t="str">
        <f>IFERROR(__xludf.DUMMYFUNCTION("GOOGLETRANSLATE(B452,""zh"",""vi"")"),"Mở rộng")</f>
        <v>Mở rộng</v>
      </c>
      <c r="F452" t="str">
        <v>14. Số lượng &amp; Đo lường</v>
      </c>
    </row>
    <row r="453">
      <c r="A453">
        <v>452</v>
      </c>
      <c r="B453" t="str">
        <v>括号</v>
      </c>
      <c r="D453" t="str">
        <v>kuòhào</v>
      </c>
      <c r="E453" t="str">
        <f>IFERROR(__xludf.DUMMYFUNCTION("GOOGLETRANSLATE(B453,""zh"",""vi"")"),"dấu ngoặc")</f>
        <v>dấu ngoặc</v>
      </c>
      <c r="F453" t="str">
        <v>15. Công cụ ngữ pháp &amp; Cấu trúc</v>
      </c>
    </row>
    <row r="454">
      <c r="A454">
        <v>453</v>
      </c>
      <c r="B454" t="str">
        <v>垃圾</v>
      </c>
      <c r="D454" t="str">
        <v>lā jī</v>
      </c>
      <c r="E454" t="str">
        <f>IFERROR(__xludf.DUMMYFUNCTION("GOOGLETRANSLATE(B454,""zh"",""vi"")"),"Rác")</f>
        <v>Rác</v>
      </c>
      <c r="F454" t="str">
        <v>5. Đời sống sinh hoạt</v>
      </c>
    </row>
    <row r="455">
      <c r="A455">
        <v>454</v>
      </c>
      <c r="B455" t="str">
        <v>拉开</v>
      </c>
      <c r="D455" t="str">
        <v>lā kāi</v>
      </c>
      <c r="E455" t="str">
        <f>IFERROR(__xludf.DUMMYFUNCTION("GOOGLETRANSLATE(B455,""zh"",""vi"")"),"Kéo mở")</f>
        <v>Kéo mở</v>
      </c>
      <c r="F455" t="str">
        <v>5. Đời sống sinh hoạt</v>
      </c>
    </row>
    <row r="456">
      <c r="A456">
        <v>455</v>
      </c>
      <c r="B456" t="str">
        <v>辣</v>
      </c>
      <c r="D456" t="str">
        <v>là</v>
      </c>
      <c r="E456" t="str">
        <f>IFERROR(__xludf.DUMMYFUNCTION("GOOGLETRANSLATE(B456,""zh"",""vi"")"),"nóng")</f>
        <v>nóng</v>
      </c>
      <c r="F456" t="str">
        <v>13. Miêu tả &amp; Đánh giá</v>
      </c>
    </row>
    <row r="457">
      <c r="A457">
        <v>456</v>
      </c>
      <c r="B457" t="str">
        <v>来不及</v>
      </c>
      <c r="D457" t="str">
        <v>láibují</v>
      </c>
      <c r="E457" t="str">
        <f>IFERROR(__xludf.DUMMYFUNCTION("GOOGLETRANSLATE(B457,""zh"",""vi"")"),"Đã quá muộn")</f>
        <v>Đã quá muộn</v>
      </c>
      <c r="F457" t="str">
        <v>10. Thời gian</v>
      </c>
    </row>
    <row r="458">
      <c r="A458">
        <v>457</v>
      </c>
      <c r="B458" t="str">
        <v>来得及</v>
      </c>
      <c r="D458" t="str">
        <v>láidéjí</v>
      </c>
      <c r="E458" t="str">
        <f>IFERROR(__xludf.DUMMYFUNCTION("GOOGLETRANSLATE(B458,""zh"",""vi"")"),"Vẫn chưa quá muộn")</f>
        <v>Vẫn chưa quá muộn</v>
      </c>
      <c r="F458" t="str">
        <v>10. Thời gian</v>
      </c>
    </row>
    <row r="459">
      <c r="A459">
        <v>458</v>
      </c>
      <c r="B459" t="str">
        <v>来源</v>
      </c>
      <c r="D459" t="str">
        <v>láiyuán</v>
      </c>
      <c r="E459" t="str">
        <f>IFERROR(__xludf.DUMMYFUNCTION("GOOGLETRANSLATE(B459,""zh"",""vi"")"),"nguồn")</f>
        <v>nguồn</v>
      </c>
      <c r="F459" t="str">
        <v>12. Công việc &amp; Nghề nghiệp</v>
      </c>
    </row>
    <row r="460">
      <c r="A460">
        <v>459</v>
      </c>
      <c r="B460" t="str">
        <v>老公</v>
      </c>
      <c r="D460" t="str">
        <v>lǎo gōng</v>
      </c>
      <c r="E460" t="str">
        <f>IFERROR(__xludf.DUMMYFUNCTION("GOOGLETRANSLATE(B460,""zh"",""vi"")"),"chồng")</f>
        <v>chồng</v>
      </c>
      <c r="F460" t="str">
        <v>1. Con người &amp; Các mối quan hệ</v>
      </c>
    </row>
    <row r="461">
      <c r="A461">
        <v>460</v>
      </c>
      <c r="B461" t="str">
        <v>老家</v>
      </c>
      <c r="D461" t="str">
        <v>lǎo jiā</v>
      </c>
      <c r="E461" t="str">
        <f>IFERROR(__xludf.DUMMYFUNCTION("GOOGLETRANSLATE(B461,""zh"",""vi"")"),"quê hương")</f>
        <v>quê hương</v>
      </c>
      <c r="F461" t="str">
        <v>7. Địa điểm &amp; Nơi chốn</v>
      </c>
    </row>
    <row r="462">
      <c r="A462">
        <v>461</v>
      </c>
      <c r="B462" t="str">
        <v>老婆</v>
      </c>
      <c r="D462" t="str">
        <v>lǎopó</v>
      </c>
      <c r="E462" t="str">
        <f>IFERROR(__xludf.DUMMYFUNCTION("GOOGLETRANSLATE(B462,""zh"",""vi"")"),"Vợ")</f>
        <v>Vợ</v>
      </c>
      <c r="F462" t="str">
        <v>1. Con người &amp; Các mối quan hệ</v>
      </c>
    </row>
    <row r="463">
      <c r="A463">
        <v>462</v>
      </c>
      <c r="B463" t="str">
        <v>老实</v>
      </c>
      <c r="D463" t="str">
        <v>lǎoshi</v>
      </c>
      <c r="E463" t="str">
        <f>IFERROR(__xludf.DUMMYFUNCTION("GOOGLETRANSLATE(B463,""zh"",""vi"")"),"trung thực")</f>
        <v>trung thực</v>
      </c>
      <c r="F463" t="str">
        <v>3. Cảm xúc &amp; Thái độ</v>
      </c>
    </row>
    <row r="464">
      <c r="A464">
        <v>463</v>
      </c>
      <c r="B464" t="str">
        <v>乐趣</v>
      </c>
      <c r="D464" t="str">
        <v>lèqù</v>
      </c>
      <c r="E464" t="str">
        <f>IFERROR(__xludf.DUMMYFUNCTION("GOOGLETRANSLATE(B464,""zh"",""vi"")"),"vinh hạnh")</f>
        <v>vinh hạnh</v>
      </c>
      <c r="F464" t="str">
        <v>3. Cảm xúc &amp; Thái độ</v>
      </c>
    </row>
    <row r="465">
      <c r="A465">
        <v>464</v>
      </c>
      <c r="B465" t="str">
        <v>泪</v>
      </c>
      <c r="D465" t="str">
        <v>lèi</v>
      </c>
      <c r="E465" t="str">
        <f>IFERROR(__xludf.DUMMYFUNCTION("GOOGLETRANSLATE(B465,""zh"",""vi"")"),"xé")</f>
        <v>xé</v>
      </c>
      <c r="F465" t="str">
        <v>3. Cảm xúc &amp; Thái độ</v>
      </c>
    </row>
    <row r="466">
      <c r="A466">
        <v>465</v>
      </c>
      <c r="B466" t="str">
        <v>泪水</v>
      </c>
      <c r="D466" t="str">
        <v>lèishuǐ</v>
      </c>
      <c r="E466" t="str">
        <f>IFERROR(__xludf.DUMMYFUNCTION("GOOGLETRANSLATE(B466,""zh"",""vi"")"),"Nước mắt")</f>
        <v>Nước mắt</v>
      </c>
      <c r="F466" t="str">
        <v>3. Cảm xúc &amp; Thái độ</v>
      </c>
    </row>
    <row r="467">
      <c r="A467">
        <v>466</v>
      </c>
      <c r="B467" t="str">
        <v>类型</v>
      </c>
      <c r="D467" t="str">
        <v>lèixíng</v>
      </c>
      <c r="E467" t="str">
        <f>IFERROR(__xludf.DUMMYFUNCTION("GOOGLETRANSLATE(B467,""zh"",""vi"")"),"kiểu")</f>
        <v>kiểu</v>
      </c>
      <c r="F467" t="str">
        <v>13. Miêu tả &amp; Đánh giá</v>
      </c>
    </row>
    <row r="468">
      <c r="A468">
        <v>467</v>
      </c>
      <c r="B468" t="str">
        <v>冷静</v>
      </c>
      <c r="D468" t="str">
        <v>lěngjìng</v>
      </c>
      <c r="E468" t="str">
        <f>IFERROR(__xludf.DUMMYFUNCTION("GOOGLETRANSLATE(B468,""zh"",""vi"")"),"điềm tĩnh")</f>
        <v>điềm tĩnh</v>
      </c>
      <c r="F468" t="str">
        <v>3. Cảm xúc &amp; Thái độ</v>
      </c>
    </row>
    <row r="469">
      <c r="A469">
        <v>468</v>
      </c>
      <c r="B469" t="str">
        <v>厘米</v>
      </c>
      <c r="D469" t="str">
        <v>límǐ</v>
      </c>
      <c r="E469" t="str">
        <f>IFERROR(__xludf.DUMMYFUNCTION("GOOGLETRANSLATE(B469,""zh"",""vi"")"),"centimet")</f>
        <v>centimet</v>
      </c>
      <c r="F469" t="str">
        <v>14. Số lượng &amp; Đo lường</v>
      </c>
    </row>
    <row r="470">
      <c r="A470">
        <v>469</v>
      </c>
      <c r="B470" t="str">
        <v>离不开</v>
      </c>
      <c r="D470" t="str">
        <v>lí bù kāi</v>
      </c>
      <c r="E470" t="str">
        <f>IFERROR(__xludf.DUMMYFUNCTION("GOOGLETRANSLATE(B470,""zh"",""vi"")"),"Không thể sống thiếu")</f>
        <v>Không thể sống thiếu</v>
      </c>
      <c r="F470" t="str">
        <v>3. Cảm xúc &amp; Thái độ</v>
      </c>
    </row>
    <row r="471">
      <c r="A471">
        <v>470</v>
      </c>
      <c r="B471" t="str">
        <v>力气</v>
      </c>
      <c r="D471" t="str">
        <v>lìqi</v>
      </c>
      <c r="E471" t="str">
        <f>IFERROR(__xludf.DUMMYFUNCTION("GOOGLETRANSLATE(B471,""zh"",""vi"")"),"sức mạnh")</f>
        <v>sức mạnh</v>
      </c>
      <c r="F471" t="str">
        <v>2. Cơ thể &amp; Sức khỏe</v>
      </c>
    </row>
    <row r="472">
      <c r="A472">
        <v>471</v>
      </c>
      <c r="B472" t="str">
        <v>历史</v>
      </c>
      <c r="D472" t="str">
        <v>lìshǐ</v>
      </c>
      <c r="E472" t="str">
        <f>IFERROR(__xludf.DUMMYFUNCTION("GOOGLETRANSLATE(B472,""zh"",""vi"")"),"lịch sử")</f>
        <v>lịch sử</v>
      </c>
      <c r="F472" t="str">
        <v>4. Tư duy &amp; Nhận thức</v>
      </c>
    </row>
    <row r="473">
      <c r="A473">
        <v>472</v>
      </c>
      <c r="B473" t="str">
        <v>立即</v>
      </c>
      <c r="D473" t="str">
        <v>lìjí</v>
      </c>
      <c r="E473" t="str">
        <f>IFERROR(__xludf.DUMMYFUNCTION("GOOGLETRANSLATE(B473,""zh"",""vi"")"),"ngay lập tức")</f>
        <v>ngay lập tức</v>
      </c>
      <c r="F473" t="str">
        <v>10. Thời gian</v>
      </c>
    </row>
    <row r="474">
      <c r="A474">
        <v>473</v>
      </c>
      <c r="B474" t="str">
        <v>利息</v>
      </c>
      <c r="D474" t="str">
        <v>lìxī</v>
      </c>
      <c r="E474" t="str">
        <f>IFERROR(__xludf.DUMMYFUNCTION("GOOGLETRANSLATE(B474,""zh"",""vi"")"),"Quan tâm")</f>
        <v>Quan tâm</v>
      </c>
      <c r="F474" t="str">
        <v>12. Công việc &amp; Nghề nghiệp</v>
      </c>
    </row>
    <row r="475">
      <c r="A475">
        <v>474</v>
      </c>
      <c r="B475" t="str">
        <v>利益</v>
      </c>
      <c r="D475" t="str">
        <v>lìyì</v>
      </c>
      <c r="E475" t="str">
        <f>IFERROR(__xludf.DUMMYFUNCTION("GOOGLETRANSLATE(B475,""zh"",""vi"")"),"Lợi ích")</f>
        <v>Lợi ích</v>
      </c>
      <c r="F475" t="str">
        <v>12. Công việc &amp; Nghề nghiệp</v>
      </c>
    </row>
    <row r="476">
      <c r="A476">
        <v>475</v>
      </c>
      <c r="B476" t="str">
        <v>俩</v>
      </c>
      <c r="D476" t="str">
        <v>liǎ</v>
      </c>
      <c r="E476" t="str">
        <f>IFERROR(__xludf.DUMMYFUNCTION("GOOGLETRANSLATE(B476,""zh"",""vi"")"),"cả hai")</f>
        <v>cả hai</v>
      </c>
      <c r="F476" t="str">
        <v>14. Số lượng &amp; Đo lường</v>
      </c>
    </row>
    <row r="477">
      <c r="A477">
        <v>476</v>
      </c>
      <c r="B477" t="str">
        <v>良好</v>
      </c>
      <c r="D477" t="str">
        <v>liánghǎo</v>
      </c>
      <c r="E477" t="str">
        <f>IFERROR(__xludf.DUMMYFUNCTION("GOOGLETRANSLATE(B477,""zh"",""vi"")"),"Tốt")</f>
        <v>Tốt</v>
      </c>
      <c r="F477" t="str">
        <v>13. Miêu tả &amp; Đánh giá</v>
      </c>
    </row>
    <row r="478">
      <c r="A478">
        <v>477</v>
      </c>
      <c r="B478" t="str">
        <v>量</v>
      </c>
      <c r="D478" t="str">
        <v>liàng</v>
      </c>
      <c r="E478" t="str">
        <f>IFERROR(__xludf.DUMMYFUNCTION("GOOGLETRANSLATE(B478,""zh"",""vi"")"),"Số lượng")</f>
        <v>Số lượng</v>
      </c>
      <c r="F478" t="str">
        <v>14. Số lượng &amp; Đo lường</v>
      </c>
    </row>
    <row r="479">
      <c r="A479">
        <v>478</v>
      </c>
      <c r="B479" t="str">
        <v>粮食</v>
      </c>
      <c r="D479" t="str">
        <v>liángshí</v>
      </c>
      <c r="E479" t="str">
        <f>IFERROR(__xludf.DUMMYFUNCTION("GOOGLETRANSLATE(B479,""zh"",""vi"")"),"đồ ăn")</f>
        <v>đồ ăn</v>
      </c>
      <c r="F479" t="str">
        <v>5. Đời sống sinh hoạt</v>
      </c>
    </row>
    <row r="480">
      <c r="A480">
        <v>479</v>
      </c>
      <c r="B480" t="str">
        <v>两边</v>
      </c>
      <c r="D480" t="str">
        <v>liǎng biān</v>
      </c>
      <c r="E480" t="str">
        <f>IFERROR(__xludf.DUMMYFUNCTION("GOOGLETRANSLATE(B480,""zh"",""vi"")"),"Cả hai phía")</f>
        <v>Cả hai phía</v>
      </c>
      <c r="F480" t="str">
        <v>9. Không gian &amp; Vị trí</v>
      </c>
    </row>
    <row r="481">
      <c r="A481">
        <v>480</v>
      </c>
      <c r="B481" t="str">
        <v>疗养</v>
      </c>
      <c r="D481" t="str">
        <v>liáo yǎng</v>
      </c>
      <c r="E481" t="str">
        <f>IFERROR(__xludf.DUMMYFUNCTION("GOOGLETRANSLATE(B481,""zh"",""vi"")"),"sự hồi phục")</f>
        <v>sự hồi phục</v>
      </c>
      <c r="F481" t="str">
        <v>2. Cơ thể &amp; Sức khỏe</v>
      </c>
    </row>
    <row r="482">
      <c r="A482">
        <v>481</v>
      </c>
      <c r="B482" t="str">
        <v>了不起</v>
      </c>
      <c r="D482" t="str">
        <v>liǎobuqǐ</v>
      </c>
      <c r="E482" t="str">
        <f>IFERROR(__xludf.DUMMYFUNCTION("GOOGLETRANSLATE(B482,""zh"",""vi"")"),"tuyệt vời")</f>
        <v>tuyệt vời</v>
      </c>
      <c r="F482" t="str">
        <v>13. Miêu tả &amp; Đánh giá</v>
      </c>
    </row>
    <row r="483">
      <c r="A483">
        <v>482</v>
      </c>
      <c r="B483" t="str">
        <v>了解</v>
      </c>
      <c r="D483" t="str">
        <v>liǎojiě</v>
      </c>
      <c r="E483" t="str">
        <f>IFERROR(__xludf.DUMMYFUNCTION("GOOGLETRANSLATE(B483,""zh"",""vi"")"),"học hỏi")</f>
        <v>học hỏi</v>
      </c>
      <c r="F483" t="str">
        <v>4. Tư duy &amp; Nhận thức</v>
      </c>
    </row>
    <row r="484">
      <c r="A484">
        <v>483</v>
      </c>
      <c r="B484" t="str">
        <v>列</v>
      </c>
      <c r="D484" t="str">
        <v>liè</v>
      </c>
      <c r="E484" t="str">
        <f>IFERROR(__xludf.DUMMYFUNCTION("GOOGLETRANSLATE(B484,""zh"",""vi"")"),"Danh sách")</f>
        <v>Danh sách</v>
      </c>
      <c r="F484" t="str">
        <v>14. Số lượng &amp; Đo lường</v>
      </c>
    </row>
    <row r="485">
      <c r="A485">
        <v>484</v>
      </c>
      <c r="B485" t="str">
        <v>列车</v>
      </c>
      <c r="D485" t="str">
        <v>lièchē</v>
      </c>
      <c r="E485" t="str">
        <f>IFERROR(__xludf.DUMMYFUNCTION("GOOGLETRANSLATE(B485,""zh"",""vi"")"),"xe lửa")</f>
        <v>xe lửa</v>
      </c>
      <c r="F485" t="str">
        <v>8. Giao thông &amp; Di chuyển</v>
      </c>
    </row>
    <row r="486">
      <c r="A486">
        <v>485</v>
      </c>
      <c r="B486" t="str">
        <v>列入</v>
      </c>
      <c r="D486" t="str">
        <v>lièrù</v>
      </c>
      <c r="E486" t="str">
        <f>IFERROR(__xludf.DUMMYFUNCTION("GOOGLETRANSLATE(B486,""zh"",""vi"")"),"Đã liệt kê")</f>
        <v>Đã liệt kê</v>
      </c>
      <c r="F486" t="str">
        <v>15. Công cụ ngữ pháp &amp; Cấu trúc</v>
      </c>
    </row>
    <row r="487">
      <c r="A487">
        <v>486</v>
      </c>
      <c r="B487" t="str">
        <v>列为</v>
      </c>
      <c r="D487" t="str">
        <v>lièwéi</v>
      </c>
      <c r="E487" t="str">
        <f>IFERROR(__xludf.DUMMYFUNCTION("GOOGLETRANSLATE(B487,""zh"",""vi"")"),"Được liệt kê là")</f>
        <v>Được liệt kê là</v>
      </c>
      <c r="F487" t="str">
        <v>15. Công cụ ngữ pháp &amp; Cấu trúc</v>
      </c>
    </row>
    <row r="488">
      <c r="A488">
        <v>487</v>
      </c>
      <c r="B488" t="str">
        <v>临时</v>
      </c>
      <c r="D488" t="str">
        <v>línshí</v>
      </c>
      <c r="E488" t="str">
        <f>IFERROR(__xludf.DUMMYFUNCTION("GOOGLETRANSLATE(B488,""zh"",""vi"")"),"tạm thời")</f>
        <v>tạm thời</v>
      </c>
      <c r="F488" t="str">
        <v>10. Thời gian</v>
      </c>
    </row>
    <row r="489">
      <c r="A489">
        <v>488</v>
      </c>
      <c r="B489" t="str">
        <v>零食</v>
      </c>
      <c r="D489" t="str">
        <v>língshí</v>
      </c>
      <c r="E489" t="str">
        <f>IFERROR(__xludf.DUMMYFUNCTION("GOOGLETRANSLATE(B489,""zh"",""vi"")"),"đồ ăn vặt")</f>
        <v>đồ ăn vặt</v>
      </c>
      <c r="F489" t="str">
        <v>5. Đời sống sinh hoạt</v>
      </c>
    </row>
    <row r="490">
      <c r="A490">
        <v>489</v>
      </c>
      <c r="B490" t="str">
        <v>流传</v>
      </c>
      <c r="D490" t="str">
        <v>liúchuán</v>
      </c>
      <c r="E490" t="str">
        <f>IFERROR(__xludf.DUMMYFUNCTION("GOOGLETRANSLATE(B490,""zh"",""vi"")"),"lây lan")</f>
        <v>lây lan</v>
      </c>
      <c r="F490" t="str">
        <v>5. Đời sống sinh hoạt</v>
      </c>
    </row>
    <row r="491">
      <c r="A491">
        <v>490</v>
      </c>
      <c r="B491" t="str">
        <v>楼梯</v>
      </c>
      <c r="D491" t="str">
        <v>lóu tī</v>
      </c>
      <c r="E491" t="str">
        <f>IFERROR(__xludf.DUMMYFUNCTION("GOOGLETRANSLATE(B491,""zh"",""vi"")"),"cầu thang")</f>
        <v>cầu thang</v>
      </c>
      <c r="F491" t="str">
        <v>7. Địa điểm &amp; Nơi chốn</v>
      </c>
    </row>
    <row r="492">
      <c r="A492">
        <v>491</v>
      </c>
      <c r="B492" t="str">
        <v>陆地</v>
      </c>
      <c r="D492" t="str">
        <v>lùdì</v>
      </c>
      <c r="E492" t="str">
        <f>IFERROR(__xludf.DUMMYFUNCTION("GOOGLETRANSLATE(B492,""zh"",""vi"")"),"đất")</f>
        <v>đất</v>
      </c>
      <c r="F492" t="str">
        <v>16. Tự nhiên</v>
      </c>
    </row>
    <row r="493">
      <c r="A493">
        <v>492</v>
      </c>
      <c r="B493" t="str">
        <v>陆续</v>
      </c>
      <c r="D493" t="str">
        <v>lùxù</v>
      </c>
      <c r="E493" t="str">
        <f>IFERROR(__xludf.DUMMYFUNCTION("GOOGLETRANSLATE(B493,""zh"",""vi"")"),"hết cái này đến cái khác")</f>
        <v>hết cái này đến cái khác</v>
      </c>
      <c r="F493" t="str">
        <v>15. Công cụ ngữ pháp &amp; Cấu trúc</v>
      </c>
    </row>
    <row r="494">
      <c r="A494">
        <v>493</v>
      </c>
      <c r="B494" t="str">
        <v>录取</v>
      </c>
      <c r="D494" t="str">
        <v>lùqǔ</v>
      </c>
      <c r="E494" t="str">
        <f>IFERROR(__xludf.DUMMYFUNCTION("GOOGLETRANSLATE(B494,""zh"",""vi"")"),"Nhập học")</f>
        <v>Nhập học</v>
      </c>
      <c r="F494" t="str">
        <v>12. Công việc &amp; Nghề nghiệp</v>
      </c>
    </row>
    <row r="495">
      <c r="A495">
        <v>494</v>
      </c>
      <c r="B495" t="str">
        <v>律师</v>
      </c>
      <c r="D495" t="str">
        <v>lǜshī</v>
      </c>
      <c r="E495" t="str">
        <f>IFERROR(__xludf.DUMMYFUNCTION("GOOGLETRANSLATE(B495,""zh"",""vi"")"),"luật sư")</f>
        <v>luật sư</v>
      </c>
      <c r="F495" t="str">
        <v>12. Công việc &amp; Nghề nghiệp</v>
      </c>
    </row>
    <row r="496">
      <c r="A496">
        <v>495</v>
      </c>
      <c r="B496" t="str">
        <v>轮</v>
      </c>
      <c r="D496" t="str">
        <v>lún</v>
      </c>
      <c r="E496" t="str">
        <f>IFERROR(__xludf.DUMMYFUNCTION("GOOGLETRANSLATE(B496,""zh"",""vi"")"),"bánh xe")</f>
        <v>bánh xe</v>
      </c>
      <c r="F496" t="str">
        <v>8. Giao thông &amp; Di chuyển</v>
      </c>
    </row>
    <row r="497">
      <c r="A497">
        <v>496</v>
      </c>
      <c r="B497" t="str">
        <v>轮船</v>
      </c>
      <c r="D497" t="str">
        <v>lúnchuán</v>
      </c>
      <c r="E497" t="str">
        <f>IFERROR(__xludf.DUMMYFUNCTION("GOOGLETRANSLATE(B497,""zh"",""vi"")"),"tàu thuyền")</f>
        <v>tàu thuyền</v>
      </c>
      <c r="F497" t="str">
        <v>8. Giao thông &amp; Di chuyển</v>
      </c>
    </row>
    <row r="498">
      <c r="A498">
        <v>497</v>
      </c>
      <c r="B498" t="str">
        <v>轮椅</v>
      </c>
      <c r="D498" t="str">
        <v>lúnyǐ</v>
      </c>
      <c r="E498" t="str">
        <f>IFERROR(__xludf.DUMMYFUNCTION("GOOGLETRANSLATE(B498,""zh"",""vi"")"),"xe lăn")</f>
        <v>xe lăn</v>
      </c>
      <c r="F498" t="str">
        <v>8. Giao thông &amp; Di chuyển</v>
      </c>
    </row>
    <row r="499">
      <c r="A499">
        <v>498</v>
      </c>
      <c r="B499" t="str">
        <v>轮子</v>
      </c>
      <c r="D499" t="str">
        <v>lúnzi</v>
      </c>
      <c r="E499" t="str">
        <f>IFERROR(__xludf.DUMMYFUNCTION("GOOGLETRANSLATE(B499,""zh"",""vi"")"),"bánh xe")</f>
        <v>bánh xe</v>
      </c>
      <c r="F499" t="str">
        <v>8. Giao thông &amp; Di chuyển</v>
      </c>
    </row>
    <row r="500">
      <c r="A500">
        <v>499</v>
      </c>
      <c r="B500" t="str">
        <v>论文</v>
      </c>
      <c r="D500" t="str">
        <v>lùnwén</v>
      </c>
      <c r="E500" t="str">
        <f>IFERROR(__xludf.DUMMYFUNCTION("GOOGLETRANSLATE(B500,""zh"",""vi"")"),"giấy")</f>
        <v>giấy</v>
      </c>
      <c r="F500" t="str">
        <v>12. Công việc &amp; Nghề nghiệp</v>
      </c>
    </row>
    <row r="501">
      <c r="A501">
        <v>500</v>
      </c>
      <c r="B501" t="str">
        <v>落</v>
      </c>
      <c r="D501" t="str">
        <v>luò</v>
      </c>
      <c r="E501" t="str">
        <f>IFERROR(__xludf.DUMMYFUNCTION("GOOGLETRANSLATE(B501,""zh"",""vi"")"),"ngã")</f>
        <v>ngã</v>
      </c>
      <c r="F501" t="str">
        <v>16. Tự nhiên</v>
      </c>
    </row>
    <row r="502">
      <c r="A502">
        <v>501</v>
      </c>
      <c r="B502" t="str">
        <v>毛巾</v>
      </c>
      <c r="D502" t="str">
        <v>máojīn</v>
      </c>
      <c r="E502" t="str">
        <f>IFERROR(__xludf.DUMMYFUNCTION("GOOGLETRANSLATE(B502,""zh"",""vi"")"),"cái khăn lau")</f>
        <v>cái khăn lau</v>
      </c>
      <c r="F502" t="str">
        <v>6. Đồ vật &amp; Công cụ</v>
      </c>
    </row>
    <row r="503">
      <c r="A503">
        <v>502</v>
      </c>
      <c r="B503" t="str">
        <v>毛衣</v>
      </c>
      <c r="D503" t="str">
        <v>máo yī</v>
      </c>
      <c r="E503" t="str">
        <f>IFERROR(__xludf.DUMMYFUNCTION("GOOGLETRANSLATE(B503,""zh"",""vi"")"),"áo len")</f>
        <v>áo len</v>
      </c>
      <c r="F503" t="str">
        <v>6. Đồ vật &amp; Công cụ</v>
      </c>
    </row>
    <row r="504">
      <c r="A504">
        <v>503</v>
      </c>
      <c r="B504" t="str">
        <v>帽子</v>
      </c>
      <c r="D504" t="str">
        <v>màozi</v>
      </c>
      <c r="E504" t="str">
        <f>IFERROR(__xludf.DUMMYFUNCTION("GOOGLETRANSLATE(B504,""zh"",""vi"")"),"mũ")</f>
        <v>mũ</v>
      </c>
      <c r="F504" t="str">
        <v>6. Đồ vật &amp; Công cụ</v>
      </c>
    </row>
    <row r="505">
      <c r="A505">
        <v>504</v>
      </c>
      <c r="B505" t="str">
        <v>没错</v>
      </c>
      <c r="D505" t="str">
        <v>méi cuò</v>
      </c>
      <c r="E505" t="str">
        <f>IFERROR(__xludf.DUMMYFUNCTION("GOOGLETRANSLATE(B505,""zh"",""vi"")"),"Đúng vậy")</f>
        <v>Đúng vậy</v>
      </c>
      <c r="F505" t="str">
        <v>15. Công cụ ngữ pháp &amp; Cấu trúc</v>
      </c>
    </row>
    <row r="506">
      <c r="A506">
        <v>505</v>
      </c>
      <c r="B506" t="str">
        <v>没法儿</v>
      </c>
      <c r="D506" t="str">
        <v>méi fǎr</v>
      </c>
      <c r="E506" t="str">
        <f>IFERROR(__xludf.DUMMYFUNCTION("GOOGLETRANSLATE(B506,""zh"",""vi"")"),"Không đời nào")</f>
        <v>Không đời nào</v>
      </c>
      <c r="F506" t="str">
        <v>15. Công cụ ngữ pháp &amp; Cấu trúc</v>
      </c>
    </row>
    <row r="507">
      <c r="A507">
        <v>506</v>
      </c>
      <c r="B507" t="str">
        <v>没想到</v>
      </c>
      <c r="D507" t="str">
        <v>méi xiǎngdào</v>
      </c>
      <c r="E507" t="str">
        <f>IFERROR(__xludf.DUMMYFUNCTION("GOOGLETRANSLATE(B507,""zh"",""vi"")"),"Không ngờ tới")</f>
        <v>Không ngờ tới</v>
      </c>
      <c r="F507" t="str">
        <v>4. Tư duy &amp; Nhận thức</v>
      </c>
    </row>
    <row r="508">
      <c r="A508">
        <v>507</v>
      </c>
      <c r="B508" t="str">
        <v>美金</v>
      </c>
      <c r="D508" t="str">
        <v>měi jīn</v>
      </c>
      <c r="E508" t="str">
        <f>IFERROR(__xludf.DUMMYFUNCTION("GOOGLETRANSLATE(B508,""zh"",""vi"")"),"Đô la Mỹ")</f>
        <v>Đô la Mỹ</v>
      </c>
      <c r="F508" t="str">
        <v>12. Công việc &amp; Nghề nghiệp</v>
      </c>
    </row>
    <row r="509">
      <c r="A509">
        <v>508</v>
      </c>
      <c r="B509" t="str">
        <v>美女</v>
      </c>
      <c r="D509" t="str">
        <v>měi nǚ</v>
      </c>
      <c r="E509" t="str">
        <f>IFERROR(__xludf.DUMMYFUNCTION("GOOGLETRANSLATE(B509,""zh"",""vi"")"),"Sắc đẹp")</f>
        <v>Sắc đẹp</v>
      </c>
      <c r="F509" t="str">
        <v>1. Con người &amp; Các mối quan hệ</v>
      </c>
    </row>
    <row r="510">
      <c r="A510">
        <v>509</v>
      </c>
      <c r="B510" t="str">
        <v>梦</v>
      </c>
      <c r="D510" t="str">
        <v>mèng</v>
      </c>
      <c r="E510" t="str">
        <f>IFERROR(__xludf.DUMMYFUNCTION("GOOGLETRANSLATE(B510,""zh"",""vi"")"),"Mơ")</f>
        <v>Mơ</v>
      </c>
      <c r="F510" t="str">
        <v>4. Tư duy &amp; Nhận thức</v>
      </c>
    </row>
    <row r="511">
      <c r="A511">
        <v>510</v>
      </c>
      <c r="B511" t="str">
        <v>梦见</v>
      </c>
      <c r="D511" t="str">
        <v>mèng jiàn</v>
      </c>
      <c r="E511" t="str">
        <f>IFERROR(__xludf.DUMMYFUNCTION("GOOGLETRANSLATE(B511,""zh"",""vi"")"),"mơ")</f>
        <v>mơ</v>
      </c>
      <c r="F511" t="str">
        <v>4. Tư duy &amp; Nhận thức</v>
      </c>
    </row>
    <row r="512">
      <c r="A512">
        <v>511</v>
      </c>
      <c r="B512" t="str">
        <v>梦想</v>
      </c>
      <c r="D512" t="str">
        <v>mèngxiǎng</v>
      </c>
      <c r="E512" t="str">
        <f>IFERROR(__xludf.DUMMYFUNCTION("GOOGLETRANSLATE(B512,""zh"",""vi"")"),"mơ")</f>
        <v>mơ</v>
      </c>
      <c r="F512" t="str">
        <v>3. Cảm xúc &amp; Thái độ</v>
      </c>
    </row>
    <row r="513">
      <c r="A513">
        <v>512</v>
      </c>
      <c r="B513" t="str">
        <v>秘密</v>
      </c>
      <c r="D513" t="str">
        <v>mìmì</v>
      </c>
      <c r="E513" t="str">
        <f>IFERROR(__xludf.DUMMYFUNCTION("GOOGLETRANSLATE(B513,""zh"",""vi"")"),"bí mật")</f>
        <v>bí mật</v>
      </c>
      <c r="F513" t="str">
        <v>13. Miêu tả &amp; Đánh giá</v>
      </c>
    </row>
    <row r="514">
      <c r="A514">
        <v>513</v>
      </c>
      <c r="B514" t="str">
        <v>秘书</v>
      </c>
      <c r="D514" t="str">
        <v>mìshū</v>
      </c>
      <c r="E514" t="str">
        <f>IFERROR(__xludf.DUMMYFUNCTION("GOOGLETRANSLATE(B514,""zh"",""vi"")"),"thư ký")</f>
        <v>thư ký</v>
      </c>
      <c r="F514" t="str">
        <v>12. Công việc &amp; Nghề nghiệp</v>
      </c>
    </row>
    <row r="515">
      <c r="A515">
        <v>514</v>
      </c>
      <c r="B515" t="str">
        <v>密</v>
      </c>
      <c r="D515" t="str">
        <v>mì</v>
      </c>
      <c r="E515" t="str">
        <f>IFERROR(__xludf.DUMMYFUNCTION("GOOGLETRANSLATE(B515,""zh"",""vi"")"),"dày đặc")</f>
        <v>dày đặc</v>
      </c>
      <c r="F515" t="str">
        <v>13. Miêu tả &amp; Đánh giá</v>
      </c>
    </row>
    <row r="516">
      <c r="A516">
        <v>515</v>
      </c>
      <c r="B516" t="str">
        <v>密码</v>
      </c>
      <c r="D516" t="str">
        <v>mìmǎ</v>
      </c>
      <c r="E516" t="str">
        <f>IFERROR(__xludf.DUMMYFUNCTION("GOOGLETRANSLATE(B516,""zh"",""vi"")"),"mật khẩu")</f>
        <v>mật khẩu</v>
      </c>
      <c r="F516" t="str">
        <v>6. Đồ vật &amp; Công cụ</v>
      </c>
    </row>
    <row r="517">
      <c r="A517">
        <v>516</v>
      </c>
      <c r="B517" t="str">
        <v>密切</v>
      </c>
      <c r="D517" t="str">
        <v>mìqiè</v>
      </c>
      <c r="E517" t="str">
        <f>IFERROR(__xludf.DUMMYFUNCTION("GOOGLETRANSLATE(B517,""zh"",""vi"")"),"đóng")</f>
        <v>đóng</v>
      </c>
      <c r="F517" t="str">
        <v>13. Miêu tả &amp; Đánh giá</v>
      </c>
    </row>
    <row r="518">
      <c r="A518">
        <v>517</v>
      </c>
      <c r="B518" t="str">
        <v>免费</v>
      </c>
      <c r="D518" t="str">
        <v>miǎnfèi</v>
      </c>
      <c r="E518" t="str">
        <f>IFERROR(__xludf.DUMMYFUNCTION("GOOGLETRANSLATE(B518,""zh"",""vi"")"),"miễn phí")</f>
        <v>miễn phí</v>
      </c>
      <c r="F518" t="str">
        <v>12. Công việc &amp; Nghề nghiệp</v>
      </c>
    </row>
    <row r="519">
      <c r="A519">
        <v>518</v>
      </c>
      <c r="B519" t="str">
        <v>面临</v>
      </c>
      <c r="D519" t="str">
        <v>miànlín</v>
      </c>
      <c r="E519" t="str">
        <f>IFERROR(__xludf.DUMMYFUNCTION("GOOGLETRANSLATE(B519,""zh"",""vi"")"),"Đối diện")</f>
        <v>Đối diện</v>
      </c>
      <c r="F519" t="str">
        <v>3. Cảm xúc &amp; Thái độ</v>
      </c>
    </row>
    <row r="520">
      <c r="A520">
        <v>519</v>
      </c>
      <c r="B520" t="str">
        <v>面试</v>
      </c>
      <c r="D520" t="str">
        <v>miànshì</v>
      </c>
      <c r="E520" t="str">
        <f>IFERROR(__xludf.DUMMYFUNCTION("GOOGLETRANSLATE(B520,""zh"",""vi"")"),"phỏng vấn")</f>
        <v>phỏng vấn</v>
      </c>
      <c r="F520" t="str">
        <v>12. Công việc &amp; Nghề nghiệp</v>
      </c>
    </row>
    <row r="521">
      <c r="A521">
        <v>520</v>
      </c>
      <c r="B521" t="str">
        <v>描述</v>
      </c>
      <c r="D521" t="str">
        <v>miáoshù</v>
      </c>
      <c r="E521" t="str">
        <f>IFERROR(__xludf.DUMMYFUNCTION("GOOGLETRANSLATE(B521,""zh"",""vi"")"),"mô tả")</f>
        <v>mô tả</v>
      </c>
      <c r="F521" t="str">
        <v>4. Tư duy &amp; Nhận thức</v>
      </c>
    </row>
    <row r="522">
      <c r="A522">
        <v>521</v>
      </c>
      <c r="B522" t="str">
        <v>描写</v>
      </c>
      <c r="D522" t="str">
        <v>miáoxiě</v>
      </c>
      <c r="E522" t="str">
        <f>IFERROR(__xludf.DUMMYFUNCTION("GOOGLETRANSLATE(B522,""zh"",""vi"")"),"Sự miêu tả")</f>
        <v>Sự miêu tả</v>
      </c>
      <c r="F522" t="str">
        <v>4. Tư duy &amp; Nhận thức</v>
      </c>
    </row>
    <row r="523">
      <c r="A523">
        <v>522</v>
      </c>
      <c r="B523" t="str">
        <v>名牌儿</v>
      </c>
      <c r="D523" t="str">
        <v>míngpáir</v>
      </c>
      <c r="E523" t="str">
        <f>IFERROR(__xludf.DUMMYFUNCTION("GOOGLETRANSLATE(B523,""zh"",""vi"")"),"Tên thương hiệu")</f>
        <v>Tên thương hiệu</v>
      </c>
      <c r="F523" t="str">
        <v>6. Đồ vật &amp; Công cụ</v>
      </c>
    </row>
    <row r="524">
      <c r="A524">
        <v>523</v>
      </c>
      <c r="B524" t="str">
        <v>名片</v>
      </c>
      <c r="D524" t="str">
        <v>míngpiàn</v>
      </c>
      <c r="E524" t="str">
        <f>IFERROR(__xludf.DUMMYFUNCTION("GOOGLETRANSLATE(B524,""zh"",""vi"")"),"danh thiếp")</f>
        <v>danh thiếp</v>
      </c>
      <c r="F524" t="str">
        <v>6. Đồ vật &amp; Công cụ</v>
      </c>
    </row>
    <row r="525">
      <c r="A525">
        <v>524</v>
      </c>
      <c r="B525" t="str">
        <v>名人</v>
      </c>
      <c r="D525" t="str">
        <v>míng rén</v>
      </c>
      <c r="E525" t="str">
        <f>IFERROR(__xludf.DUMMYFUNCTION("GOOGLETRANSLATE(B525,""zh"",""vi"")"),"người nổi tiếng")</f>
        <v>người nổi tiếng</v>
      </c>
      <c r="F525" t="str">
        <v>1. Con người &amp; Các mối quan hệ</v>
      </c>
    </row>
    <row r="526">
      <c r="A526">
        <v>525</v>
      </c>
      <c r="B526" t="str">
        <v>摸</v>
      </c>
      <c r="D526" t="str">
        <v>mō</v>
      </c>
      <c r="E526" t="str">
        <f>IFERROR(__xludf.DUMMYFUNCTION("GOOGLETRANSLATE(B526,""zh"",""vi"")"),"chạm")</f>
        <v>chạm</v>
      </c>
      <c r="F526" t="str">
        <v>2. Cơ thể &amp; Sức khỏe</v>
      </c>
    </row>
    <row r="527">
      <c r="A527">
        <v>526</v>
      </c>
      <c r="B527" t="str">
        <v>模特儿</v>
      </c>
      <c r="D527" t="str">
        <v>mótèr</v>
      </c>
      <c r="E527" t="str">
        <f>IFERROR(__xludf.DUMMYFUNCTION("GOOGLETRANSLATE(B527,""zh"",""vi"")"),"Người mẫu")</f>
        <v>Người mẫu</v>
      </c>
      <c r="F527" t="str">
        <v>12. Công việc &amp; Nghề nghiệp</v>
      </c>
    </row>
    <row r="528">
      <c r="A528">
        <v>527</v>
      </c>
      <c r="B528" t="str">
        <v>模型</v>
      </c>
      <c r="D528" t="str">
        <v>móxíng</v>
      </c>
      <c r="E528" t="str">
        <f>IFERROR(__xludf.DUMMYFUNCTION("GOOGLETRANSLATE(B528,""zh"",""vi"")"),"Người mẫu")</f>
        <v>Người mẫu</v>
      </c>
      <c r="F528" t="str">
        <v>6. Đồ vật &amp; Công cụ</v>
      </c>
    </row>
    <row r="529">
      <c r="A529">
        <v>528</v>
      </c>
      <c r="B529" t="str">
        <v>末</v>
      </c>
      <c r="D529" t="str">
        <v>mò</v>
      </c>
      <c r="E529" t="str">
        <f>IFERROR(__xludf.DUMMYFUNCTION("GOOGLETRANSLATE(B529,""zh"",""vi"")"),"kết thúc")</f>
        <v>kết thúc</v>
      </c>
      <c r="F529" t="str">
        <v>10. Thời gian</v>
      </c>
    </row>
    <row r="530">
      <c r="A530">
        <v>529</v>
      </c>
      <c r="B530" t="str">
        <v>默默</v>
      </c>
      <c r="D530" t="str">
        <v>mòmò</v>
      </c>
      <c r="E530" t="str">
        <f>IFERROR(__xludf.DUMMYFUNCTION("GOOGLETRANSLATE(B530,""zh"",""vi"")"),"lặng lẽ")</f>
        <v>lặng lẽ</v>
      </c>
      <c r="F530" t="str">
        <v>13. Miêu tả &amp; Đánh giá</v>
      </c>
    </row>
    <row r="531">
      <c r="A531">
        <v>530</v>
      </c>
      <c r="B531" t="str">
        <v>哪怕</v>
      </c>
      <c r="D531" t="str">
        <v>nǎpà</v>
      </c>
      <c r="E531" t="str">
        <f>IFERROR(__xludf.DUMMYFUNCTION("GOOGLETRANSLATE(B531,""zh"",""vi"")"),"Ngay cả khi")</f>
        <v>Ngay cả khi</v>
      </c>
      <c r="F531" t="str">
        <v>15. Công cụ ngữ pháp &amp; Cấu trúc</v>
      </c>
    </row>
    <row r="532">
      <c r="A532">
        <v>531</v>
      </c>
      <c r="B532" t="str">
        <v>哪</v>
      </c>
      <c r="D532" t="str">
        <v>nǎ</v>
      </c>
      <c r="E532" t="str">
        <f>IFERROR(__xludf.DUMMYFUNCTION("GOOGLETRANSLATE(B532,""zh"",""vi"")"),"Ở đâu")</f>
        <v>Ở đâu</v>
      </c>
      <c r="F532" t="str">
        <v>15. Công cụ ngữ pháp &amp; Cấu trúc</v>
      </c>
    </row>
    <row r="533">
      <c r="A533">
        <v>532</v>
      </c>
      <c r="B533" t="str">
        <v>男女</v>
      </c>
      <c r="D533" t="str">
        <v>nán nǚ</v>
      </c>
      <c r="E533" t="str">
        <f>IFERROR(__xludf.DUMMYFUNCTION("GOOGLETRANSLATE(B533,""zh"",""vi"")"),"đàn ông và phụ nữ")</f>
        <v>đàn ông và phụ nữ</v>
      </c>
      <c r="F533" t="str">
        <v>1. Con người &amp; Các mối quan hệ</v>
      </c>
    </row>
    <row r="534">
      <c r="A534">
        <v>533</v>
      </c>
      <c r="B534" t="str">
        <v>男士</v>
      </c>
      <c r="D534" t="str">
        <v>nán shì</v>
      </c>
      <c r="E534" t="str">
        <f>IFERROR(__xludf.DUMMYFUNCTION("GOOGLETRANSLATE(B534,""zh"",""vi"")"),"Đàn ông")</f>
        <v>Đàn ông</v>
      </c>
      <c r="F534" t="str">
        <v>1. Con người &amp; Các mối quan hệ</v>
      </c>
    </row>
    <row r="535">
      <c r="A535">
        <v>534</v>
      </c>
      <c r="B535" t="str">
        <v>难免</v>
      </c>
      <c r="D535" t="str">
        <v>nánmiǎn</v>
      </c>
      <c r="E535" t="str">
        <f>IFERROR(__xludf.DUMMYFUNCTION("GOOGLETRANSLATE(B535,""zh"",""vi"")"),"Không thể tránh khỏi")</f>
        <v>Không thể tránh khỏi</v>
      </c>
      <c r="F535" t="str">
        <v>15. Công cụ ngữ pháp &amp; Cấu trúc</v>
      </c>
    </row>
    <row r="536">
      <c r="A536">
        <v>535</v>
      </c>
      <c r="B536" t="str">
        <v>脑袋</v>
      </c>
      <c r="D536" t="str">
        <v>nǎodai</v>
      </c>
      <c r="E536" t="str">
        <f>IFERROR(__xludf.DUMMYFUNCTION("GOOGLETRANSLATE(B536,""zh"",""vi"")"),"cái đầu")</f>
        <v>cái đầu</v>
      </c>
      <c r="F536" t="str">
        <v>2. Cơ thể &amp; Sức khỏe</v>
      </c>
    </row>
    <row r="537">
      <c r="A537">
        <v>536</v>
      </c>
      <c r="B537" t="str">
        <v>闹</v>
      </c>
      <c r="D537" t="str">
        <v>nào</v>
      </c>
      <c r="E537" t="str">
        <f>IFERROR(__xludf.DUMMYFUNCTION("GOOGLETRANSLATE(B537,""zh"",""vi"")"),"Ồn ào")</f>
        <v>Ồn ào</v>
      </c>
      <c r="F537" t="str">
        <v>3. Cảm xúc &amp; Thái độ</v>
      </c>
    </row>
    <row r="538">
      <c r="A538">
        <v>537</v>
      </c>
      <c r="B538" t="str">
        <v>闹钟</v>
      </c>
      <c r="D538" t="str">
        <v>nàozhōng</v>
      </c>
      <c r="E538" t="str">
        <f>IFERROR(__xludf.DUMMYFUNCTION("GOOGLETRANSLATE(B538,""zh"",""vi"")"),"Đồng hồ báo thức")</f>
        <v>Đồng hồ báo thức</v>
      </c>
      <c r="F538" t="str">
        <v>6. Đồ vật &amp; Công cụ</v>
      </c>
    </row>
    <row r="539">
      <c r="A539">
        <v>538</v>
      </c>
      <c r="B539" t="str">
        <v>内部</v>
      </c>
      <c r="D539" t="str">
        <v>nèibù</v>
      </c>
      <c r="E539" t="str">
        <f>IFERROR(__xludf.DUMMYFUNCTION("GOOGLETRANSLATE(B539,""zh"",""vi"")"),"nội bộ")</f>
        <v>nội bộ</v>
      </c>
      <c r="F539" t="str">
        <v>9. Không gian &amp; Vị trí</v>
      </c>
    </row>
    <row r="540">
      <c r="A540">
        <v>539</v>
      </c>
      <c r="B540" t="str">
        <v>内科</v>
      </c>
      <c r="D540" t="str">
        <v>nèikē</v>
      </c>
      <c r="E540" t="str">
        <f>IFERROR(__xludf.DUMMYFUNCTION("GOOGLETRANSLATE(B540,""zh"",""vi"")"),"Nội khoa")</f>
        <v>Nội khoa</v>
      </c>
      <c r="F540" t="str">
        <v>2. Cơ thể &amp; Sức khỏe</v>
      </c>
    </row>
    <row r="541">
      <c r="A541">
        <v>540</v>
      </c>
      <c r="B541" t="str">
        <v>能干</v>
      </c>
      <c r="D541" t="str">
        <v>nénggàn</v>
      </c>
      <c r="E541" t="str">
        <f>IFERROR(__xludf.DUMMYFUNCTION("GOOGLETRANSLATE(B541,""zh"",""vi"")"),"có khả năng")</f>
        <v>có khả năng</v>
      </c>
      <c r="F541" t="str">
        <v>13. Miêu tả &amp; Đánh giá</v>
      </c>
    </row>
    <row r="542">
      <c r="A542">
        <v>541</v>
      </c>
      <c r="B542" t="str">
        <v>宁静</v>
      </c>
      <c r="D542" t="str">
        <v>níngjìng</v>
      </c>
      <c r="E542" t="str">
        <f>IFERROR(__xludf.DUMMYFUNCTION("GOOGLETRANSLATE(B542,""zh"",""vi"")"),"hoà bình")</f>
        <v>hoà bình</v>
      </c>
      <c r="F542" t="str">
        <v>13. Miêu tả &amp; Đánh giá</v>
      </c>
    </row>
    <row r="543">
      <c r="A543">
        <v>542</v>
      </c>
      <c r="B543" t="str">
        <v>浓</v>
      </c>
      <c r="D543" t="str">
        <v>nóng</v>
      </c>
      <c r="E543" t="str">
        <f>IFERROR(__xludf.DUMMYFUNCTION("GOOGLETRANSLATE(B543,""zh"",""vi"")"),"tập trung")</f>
        <v>tập trung</v>
      </c>
      <c r="F543" t="str">
        <v>13. Miêu tả &amp; Đánh giá</v>
      </c>
    </row>
    <row r="544">
      <c r="A544">
        <v>543</v>
      </c>
      <c r="B544" t="str">
        <v>女士</v>
      </c>
      <c r="D544" t="str">
        <v>nǚshì</v>
      </c>
      <c r="E544" t="str">
        <f>IFERROR(__xludf.DUMMYFUNCTION("GOOGLETRANSLATE(B544,""zh"",""vi"")"),"Cô")</f>
        <v>Cô</v>
      </c>
      <c r="F544" t="str">
        <v>1. Con người &amp; Các mối quan hệ</v>
      </c>
    </row>
    <row r="545">
      <c r="A545">
        <v>544</v>
      </c>
      <c r="B545" t="str">
        <v>暖气</v>
      </c>
      <c r="D545" t="str">
        <v>nuǎn qì</v>
      </c>
      <c r="E545" t="str">
        <f>IFERROR(__xludf.DUMMYFUNCTION("GOOGLETRANSLATE(B545,""zh"",""vi"")"),"Sưởi ấm")</f>
        <v>Sưởi ấm</v>
      </c>
      <c r="F545" t="str">
        <v>6. Đồ vật &amp; Công cụ</v>
      </c>
    </row>
    <row r="546">
      <c r="A546">
        <v>545</v>
      </c>
      <c r="B546" t="str">
        <v>拍照</v>
      </c>
      <c r="D546" t="str">
        <v>pāi zhào</v>
      </c>
      <c r="E546" t="str">
        <f>IFERROR(__xludf.DUMMYFUNCTION("GOOGLETRANSLATE(B546,""zh"",""vi"")"),"Ảnh chụp")</f>
        <v>Ảnh chụp</v>
      </c>
      <c r="F546" t="str">
        <v>5. Đời sống sinh hoạt</v>
      </c>
    </row>
    <row r="547">
      <c r="A547">
        <v>546</v>
      </c>
      <c r="B547" t="str">
        <v>排列</v>
      </c>
      <c r="D547" t="str">
        <v>páiliè</v>
      </c>
      <c r="E547" t="str">
        <f>IFERROR(__xludf.DUMMYFUNCTION("GOOGLETRANSLATE(B547,""zh"",""vi"")"),"sắp xếp")</f>
        <v>sắp xếp</v>
      </c>
      <c r="F547" t="str">
        <v>5. Đời sống sinh hoạt</v>
      </c>
    </row>
    <row r="548">
      <c r="A548">
        <v>547</v>
      </c>
      <c r="B548" t="str">
        <v>牌</v>
      </c>
      <c r="D548" t="str">
        <v>pái</v>
      </c>
      <c r="E548" t="str">
        <f>IFERROR(__xludf.DUMMYFUNCTION("GOOGLETRANSLATE(B548,""zh"",""vi"")"),"Thẻ")</f>
        <v>Thẻ</v>
      </c>
      <c r="F548" t="str">
        <v>6. Đồ vật &amp; Công cụ</v>
      </c>
    </row>
    <row r="549">
      <c r="A549">
        <v>548</v>
      </c>
      <c r="B549" t="str">
        <v>盘（名，量）</v>
      </c>
      <c r="D549" t="str">
        <v>pán</v>
      </c>
      <c r="E549" t="str">
        <f>IFERROR(__xludf.DUMMYFUNCTION("GOOGLETRANSLATE(B549,""zh"",""vi"")"),"Đĩa (tên, số lượng)")</f>
        <v>Đĩa (tên, số lượng)</v>
      </c>
      <c r="F549" t="str">
        <v>6. Đồ vật &amp; Công cụ</v>
      </c>
    </row>
    <row r="550">
      <c r="A550">
        <v>549</v>
      </c>
      <c r="B550" t="str">
        <v>盘子</v>
      </c>
      <c r="D550" t="str">
        <v>pánzi</v>
      </c>
      <c r="E550" t="str">
        <f>IFERROR(__xludf.DUMMYFUNCTION("GOOGLETRANSLATE(B550,""zh"",""vi"")"),"đĩa")</f>
        <v>đĩa</v>
      </c>
      <c r="F550" t="str">
        <v>6. Đồ vật &amp; Công cụ</v>
      </c>
    </row>
    <row r="551">
      <c r="A551">
        <v>550</v>
      </c>
      <c r="B551" t="str">
        <v>胖子</v>
      </c>
      <c r="D551" t="str">
        <v>pàngzi</v>
      </c>
      <c r="E551" t="str">
        <f>IFERROR(__xludf.DUMMYFUNCTION("GOOGLETRANSLATE(B551,""zh"",""vi"")"),"Mập")</f>
        <v>Mập</v>
      </c>
      <c r="F551" t="str">
        <v>1. Con người &amp; Các mối quan hệ</v>
      </c>
    </row>
    <row r="552">
      <c r="A552">
        <v>551</v>
      </c>
      <c r="B552" t="str">
        <v>培训</v>
      </c>
      <c r="D552" t="str">
        <v>péixùn</v>
      </c>
      <c r="E552" t="str">
        <f>IFERROR(__xludf.DUMMYFUNCTION("GOOGLETRANSLATE(B552,""zh"",""vi"")"),"Đào tạo")</f>
        <v>Đào tạo</v>
      </c>
      <c r="F552" t="str">
        <v>12. Công việc &amp; Nghề nghiệp</v>
      </c>
    </row>
    <row r="553">
      <c r="A553">
        <v>552</v>
      </c>
      <c r="B553" t="str">
        <v>培训班</v>
      </c>
      <c r="D553" t="str">
        <v>péixùn bān</v>
      </c>
      <c r="E553" t="str">
        <f>IFERROR(__xludf.DUMMYFUNCTION("GOOGLETRANSLATE(B553,""zh"",""vi"")"),"Khóa đào tạo")</f>
        <v>Khóa đào tạo</v>
      </c>
      <c r="F553" t="str">
        <v>12. Công việc &amp; Nghề nghiệp</v>
      </c>
    </row>
    <row r="554">
      <c r="A554">
        <v>553</v>
      </c>
      <c r="B554" t="str">
        <v>培养</v>
      </c>
      <c r="D554" t="str">
        <v>péiyǎng</v>
      </c>
      <c r="E554" t="str">
        <f>IFERROR(__xludf.DUMMYFUNCTION("GOOGLETRANSLATE(B554,""zh"",""vi"")"),"nuôi")</f>
        <v>nuôi</v>
      </c>
      <c r="F554" t="str">
        <v>12. Công việc &amp; Nghề nghiệp</v>
      </c>
    </row>
    <row r="555">
      <c r="A555">
        <v>554</v>
      </c>
      <c r="B555" t="str">
        <v>培育</v>
      </c>
      <c r="D555" t="str">
        <v>péiyù</v>
      </c>
      <c r="E555" t="str">
        <f>IFERROR(__xludf.DUMMYFUNCTION("GOOGLETRANSLATE(B555,""zh"",""vi"")"),"Trồng trọt")</f>
        <v>Trồng trọt</v>
      </c>
      <c r="F555" t="str">
        <v>12. Công việc &amp; Nghề nghiệp</v>
      </c>
    </row>
    <row r="556">
      <c r="A556">
        <v>555</v>
      </c>
      <c r="B556" t="str">
        <v>批（动）</v>
      </c>
      <c r="D556" t="str">
        <v>pī</v>
      </c>
      <c r="E556" t="str">
        <f>IFERROR(__xludf.DUMMYFUNCTION("GOOGLETRANSLATE(B556,""zh"",""vi"")"),"批 (động từ)")</f>
        <v>批 (động từ)</v>
      </c>
      <c r="F556" t="str">
        <v>12. Công việc &amp; Nghề nghiệp</v>
      </c>
    </row>
    <row r="557">
      <c r="A557">
        <v>556</v>
      </c>
      <c r="B557" t="str">
        <v>批（量）</v>
      </c>
      <c r="D557" t="str">
        <v>pī</v>
      </c>
      <c r="E557" t="str">
        <f>IFERROR(__xludf.DUMMYFUNCTION("GOOGLETRANSLATE(B557,""zh"",""vi"")"),"lô)")</f>
        <v>lô)</v>
      </c>
      <c r="F557" t="str">
        <v>14. Số lượng &amp; Đo lường</v>
      </c>
    </row>
    <row r="558">
      <c r="A558">
        <v>557</v>
      </c>
      <c r="B558" t="str">
        <v>片面</v>
      </c>
      <c r="D558" t="str">
        <v>piànmiàn</v>
      </c>
      <c r="E558" t="str">
        <f>IFERROR(__xludf.DUMMYFUNCTION("GOOGLETRANSLATE(B558,""zh"",""vi"")"),"một chiều")</f>
        <v>một chiều</v>
      </c>
      <c r="F558" t="str">
        <v>4. Tư duy &amp; Nhận thức</v>
      </c>
    </row>
    <row r="559">
      <c r="A559">
        <v>558</v>
      </c>
      <c r="B559" t="str">
        <v>品质</v>
      </c>
      <c r="D559" t="str">
        <v>pǐnzhì</v>
      </c>
      <c r="E559" t="str">
        <f>IFERROR(__xludf.DUMMYFUNCTION("GOOGLETRANSLATE(B559,""zh"",""vi"")"),"chất lượng")</f>
        <v>chất lượng</v>
      </c>
      <c r="F559" t="str">
        <v>13. Miêu tả &amp; Đánh giá</v>
      </c>
    </row>
    <row r="560">
      <c r="A560">
        <v>559</v>
      </c>
      <c r="B560" t="str">
        <v>平方</v>
      </c>
      <c r="D560" t="str">
        <v>píngfāng</v>
      </c>
      <c r="E560" t="str">
        <f>IFERROR(__xludf.DUMMYFUNCTION("GOOGLETRANSLATE(B560,""zh"",""vi"")"),"quảng trường")</f>
        <v>quảng trường</v>
      </c>
      <c r="F560" t="str">
        <v>14. Số lượng &amp; Đo lường</v>
      </c>
    </row>
    <row r="561">
      <c r="A561">
        <v>560</v>
      </c>
      <c r="B561" t="str">
        <v>平静</v>
      </c>
      <c r="D561" t="str">
        <v>píngjìng</v>
      </c>
      <c r="E561" t="str">
        <f>IFERROR(__xludf.DUMMYFUNCTION("GOOGLETRANSLATE(B561,""zh"",""vi"")"),"điềm tĩnh")</f>
        <v>điềm tĩnh</v>
      </c>
      <c r="F561" t="str">
        <v>3. Cảm xúc &amp; Thái độ</v>
      </c>
    </row>
    <row r="562">
      <c r="A562">
        <v>561</v>
      </c>
      <c r="B562" t="str">
        <v>平均</v>
      </c>
      <c r="D562" t="str">
        <v>píngjūn</v>
      </c>
      <c r="E562" t="str">
        <f>IFERROR(__xludf.DUMMYFUNCTION("GOOGLETRANSLATE(B562,""zh"",""vi"")"),"trung bình")</f>
        <v>trung bình</v>
      </c>
      <c r="F562" t="str">
        <v>14. Số lượng &amp; Đo lường</v>
      </c>
    </row>
    <row r="563">
      <c r="A563">
        <v>562</v>
      </c>
      <c r="B563" t="str">
        <v>平稳</v>
      </c>
      <c r="D563" t="str">
        <v>píngwěn</v>
      </c>
      <c r="E563" t="str">
        <f>IFERROR(__xludf.DUMMYFUNCTION("GOOGLETRANSLATE(B563,""zh"",""vi"")"),"trơn tru")</f>
        <v>trơn tru</v>
      </c>
      <c r="F563" t="str">
        <v>13. Miêu tả &amp; Đánh giá</v>
      </c>
    </row>
    <row r="564">
      <c r="A564">
        <v>563</v>
      </c>
      <c r="B564" t="str">
        <v>迫切</v>
      </c>
      <c r="D564" t="str">
        <v>pòqiè</v>
      </c>
      <c r="E564" t="str">
        <f>IFERROR(__xludf.DUMMYFUNCTION("GOOGLETRANSLATE(B564,""zh"",""vi"")"),"cấp bách")</f>
        <v>cấp bách</v>
      </c>
      <c r="F564" t="str">
        <v>3. Cảm xúc &amp; Thái độ</v>
      </c>
    </row>
    <row r="565">
      <c r="A565">
        <v>564</v>
      </c>
      <c r="B565" t="str">
        <v>破产</v>
      </c>
      <c r="D565" t="str">
        <v>pòchǎn</v>
      </c>
      <c r="E565" t="str">
        <f>IFERROR(__xludf.DUMMYFUNCTION("GOOGLETRANSLATE(B565,""zh"",""vi"")"),"Phá sản")</f>
        <v>Phá sản</v>
      </c>
      <c r="F565" t="str">
        <v>12. Công việc &amp; Nghề nghiệp</v>
      </c>
    </row>
    <row r="566">
      <c r="A566">
        <v>565</v>
      </c>
      <c r="B566" t="str">
        <v>妻子</v>
      </c>
      <c r="D566" t="str">
        <v>qīzi</v>
      </c>
      <c r="E566" t="str">
        <f>IFERROR(__xludf.DUMMYFUNCTION("GOOGLETRANSLATE(B566,""zh"",""vi"")"),"vợ")</f>
        <v>vợ</v>
      </c>
      <c r="F566" t="str">
        <v>1. Con người &amp; Các mối quan hệ</v>
      </c>
    </row>
    <row r="567">
      <c r="A567">
        <v>566</v>
      </c>
      <c r="B567" t="str">
        <v>期待</v>
      </c>
      <c r="D567" t="str">
        <v>qīdài</v>
      </c>
      <c r="E567" t="str">
        <f>IFERROR(__xludf.DUMMYFUNCTION("GOOGLETRANSLATE(B567,""zh"",""vi"")"),"trông chờ")</f>
        <v>trông chờ</v>
      </c>
      <c r="F567" t="str">
        <v>3. Cảm xúc &amp; Thái độ</v>
      </c>
    </row>
    <row r="568">
      <c r="A568">
        <v>567</v>
      </c>
      <c r="B568" t="str">
        <v>期间</v>
      </c>
      <c r="D568" t="str">
        <v>qījiān</v>
      </c>
      <c r="E568" t="str">
        <f>IFERROR(__xludf.DUMMYFUNCTION("GOOGLETRANSLATE(B568,""zh"",""vi"")"),"Giai đoạn")</f>
        <v>Giai đoạn</v>
      </c>
      <c r="F568" t="str">
        <v>10. Thời gian</v>
      </c>
    </row>
    <row r="569">
      <c r="A569">
        <v>568</v>
      </c>
      <c r="B569" t="str">
        <v>期末</v>
      </c>
      <c r="D569" t="str">
        <v>qīmò</v>
      </c>
      <c r="E569" t="str">
        <f>IFERROR(__xludf.DUMMYFUNCTION("GOOGLETRANSLATE(B569,""zh"",""vi"")"),"Bài kiểm tra cuối kỳ")</f>
        <v>Bài kiểm tra cuối kỳ</v>
      </c>
      <c r="F569" t="str">
        <v>10. Thời gian</v>
      </c>
    </row>
    <row r="570">
      <c r="A570">
        <v>569</v>
      </c>
      <c r="B570" t="str">
        <v>期限</v>
      </c>
      <c r="D570" t="str">
        <v>qīxiàn</v>
      </c>
      <c r="E570" t="str">
        <f>IFERROR(__xludf.DUMMYFUNCTION("GOOGLETRANSLATE(B570,""zh"",""vi"")"),"thuật ngữ")</f>
        <v>thuật ngữ</v>
      </c>
      <c r="F570" t="str">
        <v>10. Thời gian</v>
      </c>
    </row>
    <row r="571">
      <c r="A571">
        <v>570</v>
      </c>
      <c r="B571" t="str">
        <v>期中</v>
      </c>
      <c r="D571" t="str">
        <v>qī zhōng</v>
      </c>
      <c r="E571" t="str">
        <f>IFERROR(__xludf.DUMMYFUNCTION("GOOGLETRANSLATE(B571,""zh"",""vi"")"),"Giữa kỳ")</f>
        <v>Giữa kỳ</v>
      </c>
      <c r="F571" t="str">
        <v>10. Thời gian</v>
      </c>
    </row>
    <row r="572">
      <c r="A572">
        <v>571</v>
      </c>
      <c r="B572" t="str">
        <v>其余</v>
      </c>
      <c r="D572" t="str">
        <v>qíyú</v>
      </c>
      <c r="E572" t="str">
        <f>IFERROR(__xludf.DUMMYFUNCTION("GOOGLETRANSLATE(B572,""zh"",""vi"")"),"phần còn lại")</f>
        <v>phần còn lại</v>
      </c>
      <c r="F572" t="str">
        <v>15. Công cụ ngữ pháp &amp; Cấu trúc</v>
      </c>
    </row>
    <row r="573">
      <c r="A573">
        <v>572</v>
      </c>
      <c r="B573" t="str">
        <v>企业</v>
      </c>
      <c r="D573" t="str">
        <v>qǐyè</v>
      </c>
      <c r="E573" t="str">
        <f>IFERROR(__xludf.DUMMYFUNCTION("GOOGLETRANSLATE(B573,""zh"",""vi"")"),"doanh nghiệp")</f>
        <v>doanh nghiệp</v>
      </c>
      <c r="F573" t="str">
        <v>12. Công việc &amp; Nghề nghiệp</v>
      </c>
    </row>
    <row r="574">
      <c r="A574">
        <v>573</v>
      </c>
      <c r="B574" t="str">
        <v>气球</v>
      </c>
      <c r="D574" t="str">
        <v>qìqiú</v>
      </c>
      <c r="E574" t="str">
        <f>IFERROR(__xludf.DUMMYFUNCTION("GOOGLETRANSLATE(B574,""zh"",""vi"")"),"bóng bay")</f>
        <v>bóng bay</v>
      </c>
      <c r="F574" t="str">
        <v>6. Đồ vật &amp; Công cụ</v>
      </c>
    </row>
    <row r="575">
      <c r="A575">
        <v>574</v>
      </c>
      <c r="B575" t="str">
        <v>汽水</v>
      </c>
      <c r="D575" t="str">
        <v>qìshuǐ</v>
      </c>
      <c r="E575" t="str">
        <f>IFERROR(__xludf.DUMMYFUNCTION("GOOGLETRANSLATE(B575,""zh"",""vi"")"),"nước ngọt")</f>
        <v>nước ngọt</v>
      </c>
      <c r="F575" t="str">
        <v>5. Đời sống sinh hoạt</v>
      </c>
    </row>
    <row r="576">
      <c r="A576">
        <v>575</v>
      </c>
      <c r="B576" t="str">
        <v>汽油</v>
      </c>
      <c r="D576" t="str">
        <v>qìyóu</v>
      </c>
      <c r="E576" t="str">
        <f>IFERROR(__xludf.DUMMYFUNCTION("GOOGLETRANSLATE(B576,""zh"",""vi"")"),"xăng")</f>
        <v>xăng</v>
      </c>
      <c r="F576" t="str">
        <v>8. Giao thông &amp; Di chuyển</v>
      </c>
    </row>
    <row r="577">
      <c r="A577">
        <v>576</v>
      </c>
      <c r="B577" t="str">
        <v>器官</v>
      </c>
      <c r="D577" t="str">
        <v>qìguān</v>
      </c>
      <c r="E577" t="str">
        <f>IFERROR(__xludf.DUMMYFUNCTION("GOOGLETRANSLATE(B577,""zh"",""vi"")"),"cơ quan")</f>
        <v>cơ quan</v>
      </c>
      <c r="F577" t="str">
        <v>2. Cơ thể &amp; Sức khỏe</v>
      </c>
    </row>
    <row r="578">
      <c r="A578">
        <v>577</v>
      </c>
      <c r="B578" t="str">
        <v>前头</v>
      </c>
      <c r="D578" t="str">
        <v>qián tou</v>
      </c>
      <c r="E578" t="str">
        <f>IFERROR(__xludf.DUMMYFUNCTION("GOOGLETRANSLATE(B578,""zh"",""vi"")"),"Đằng trước")</f>
        <v>Đằng trước</v>
      </c>
      <c r="F578" t="str">
        <v>9. Không gian &amp; Vị trí</v>
      </c>
    </row>
    <row r="579">
      <c r="A579">
        <v>578</v>
      </c>
      <c r="B579" t="str">
        <v>前途</v>
      </c>
      <c r="D579" t="str">
        <v>qiántú</v>
      </c>
      <c r="E579" t="str">
        <f>IFERROR(__xludf.DUMMYFUNCTION("GOOGLETRANSLATE(B579,""zh"",""vi"")"),"tương lai")</f>
        <v>tương lai</v>
      </c>
      <c r="F579" t="str">
        <v>12. Công việc &amp; Nghề nghiệp</v>
      </c>
    </row>
    <row r="580">
      <c r="A580">
        <v>579</v>
      </c>
      <c r="B580" t="str">
        <v>浅</v>
      </c>
      <c r="D580" t="str">
        <v>qiǎn</v>
      </c>
      <c r="E580" t="str">
        <f>IFERROR(__xludf.DUMMYFUNCTION("GOOGLETRANSLATE(B580,""zh"",""vi"")"),"nông")</f>
        <v>nông</v>
      </c>
      <c r="F580" t="str">
        <v>13. Miêu tả &amp; Đánh giá</v>
      </c>
    </row>
    <row r="581">
      <c r="A581">
        <v>580</v>
      </c>
      <c r="B581" t="str">
        <v>巧克力</v>
      </c>
      <c r="D581" t="str">
        <v>qiǎokèlì</v>
      </c>
      <c r="E581" t="str">
        <f>IFERROR(__xludf.DUMMYFUNCTION("GOOGLETRANSLATE(B581,""zh"",""vi"")"),"sôcôla")</f>
        <v>sôcôla</v>
      </c>
      <c r="F581" t="str">
        <v>5. Đời sống sinh hoạt</v>
      </c>
    </row>
    <row r="582">
      <c r="A582">
        <v>581</v>
      </c>
      <c r="B582" t="str">
        <v>切</v>
      </c>
      <c r="D582" t="str">
        <v>qiē</v>
      </c>
      <c r="E582" t="str">
        <f>IFERROR(__xludf.DUMMYFUNCTION("GOOGLETRANSLATE(B582,""zh"",""vi"")"),"cắt")</f>
        <v>cắt</v>
      </c>
      <c r="F582" t="str">
        <v>5. Đời sống sinh hoạt</v>
      </c>
    </row>
    <row r="583">
      <c r="A583">
        <v>582</v>
      </c>
      <c r="B583" t="str">
        <v>亲爱</v>
      </c>
      <c r="D583" t="str">
        <v>qīn’ài</v>
      </c>
      <c r="E583" t="str">
        <f>IFERROR(__xludf.DUMMYFUNCTION("GOOGLETRANSLATE(B583,""zh"",""vi"")"),"Thân mến")</f>
        <v>Thân mến</v>
      </c>
      <c r="F583" t="str">
        <v>3. Cảm xúc &amp; Thái độ</v>
      </c>
    </row>
    <row r="584">
      <c r="A584">
        <v>583</v>
      </c>
      <c r="B584" t="str">
        <v>亲密</v>
      </c>
      <c r="D584" t="str">
        <v>qīnmì</v>
      </c>
      <c r="E584" t="str">
        <f>IFERROR(__xludf.DUMMYFUNCTION("GOOGLETRANSLATE(B584,""zh"",""vi"")"),"đóng")</f>
        <v>đóng</v>
      </c>
      <c r="F584" t="str">
        <v>3. Cảm xúc &amp; Thái độ</v>
      </c>
    </row>
    <row r="585">
      <c r="A585">
        <v>584</v>
      </c>
      <c r="B585" t="str">
        <v>青春</v>
      </c>
      <c r="D585" t="str">
        <v>qīngchūn</v>
      </c>
      <c r="E585" t="str">
        <f>IFERROR(__xludf.DUMMYFUNCTION("GOOGLETRANSLATE(B585,""zh"",""vi"")"),"thiếu niên")</f>
        <v>thiếu niên</v>
      </c>
      <c r="F585" t="str">
        <v>10. Thời gian</v>
      </c>
    </row>
    <row r="586">
      <c r="A586">
        <v>585</v>
      </c>
      <c r="B586" t="str">
        <v>轻松</v>
      </c>
      <c r="D586" t="str">
        <v>qīngsōng</v>
      </c>
      <c r="E586" t="str">
        <f>IFERROR(__xludf.DUMMYFUNCTION("GOOGLETRANSLATE(B586,""zh"",""vi"")"),"dễ")</f>
        <v>dễ</v>
      </c>
      <c r="F586" t="str">
        <v>3. Cảm xúc &amp; Thái độ</v>
      </c>
    </row>
    <row r="587">
      <c r="A587">
        <v>586</v>
      </c>
      <c r="B587" t="str">
        <v>轻易</v>
      </c>
      <c r="D587" t="str">
        <v>qīngyì</v>
      </c>
      <c r="E587" t="str">
        <f>IFERROR(__xludf.DUMMYFUNCTION("GOOGLETRANSLATE(B587,""zh"",""vi"")"),"một cách dễ dàng")</f>
        <v>một cách dễ dàng</v>
      </c>
      <c r="F587" t="str">
        <v>13. Miêu tả &amp; Đánh giá</v>
      </c>
    </row>
    <row r="588">
      <c r="A588">
        <v>587</v>
      </c>
      <c r="B588" t="str">
        <v>清醒</v>
      </c>
      <c r="D588" t="str">
        <v>qīngxǐng</v>
      </c>
      <c r="E588" t="str">
        <f>IFERROR(__xludf.DUMMYFUNCTION("GOOGLETRANSLATE(B588,""zh"",""vi"")"),"tỉnh táo hoàn toàn")</f>
        <v>tỉnh táo hoàn toàn</v>
      </c>
      <c r="F588" t="str">
        <v>2. Cơ thể &amp; Sức khỏe</v>
      </c>
    </row>
    <row r="589">
      <c r="A589">
        <v>588</v>
      </c>
      <c r="B589" t="str">
        <v>情景</v>
      </c>
      <c r="D589" t="str">
        <v>qíngjǐng</v>
      </c>
      <c r="E589" t="str">
        <f>IFERROR(__xludf.DUMMYFUNCTION("GOOGLETRANSLATE(B589,""zh"",""vi"")"),"bối cảnh")</f>
        <v>bối cảnh</v>
      </c>
      <c r="F589" t="str">
        <v>4. Tư duy &amp; Nhận thức</v>
      </c>
    </row>
    <row r="590">
      <c r="A590">
        <v>589</v>
      </c>
      <c r="B590" t="str">
        <v>穷</v>
      </c>
      <c r="D590" t="str">
        <v>qióng</v>
      </c>
      <c r="E590" t="str">
        <f>IFERROR(__xludf.DUMMYFUNCTION("GOOGLETRANSLATE(B590,""zh"",""vi"")"),"nghèo")</f>
        <v>nghèo</v>
      </c>
      <c r="F590" t="str">
        <v>13. Miêu tả &amp; Đánh giá</v>
      </c>
    </row>
    <row r="591">
      <c r="A591">
        <v>590</v>
      </c>
      <c r="B591" t="str">
        <v>穷人</v>
      </c>
      <c r="D591" t="str">
        <v>qióng rén</v>
      </c>
      <c r="E591" t="str">
        <f>IFERROR(__xludf.DUMMYFUNCTION("GOOGLETRANSLATE(B591,""zh"",""vi"")"),"người nghèo")</f>
        <v>người nghèo</v>
      </c>
      <c r="F591" t="str">
        <v>1. Con người &amp; Các mối quan hệ</v>
      </c>
    </row>
    <row r="592">
      <c r="A592">
        <v>591</v>
      </c>
      <c r="B592" t="str">
        <v>秋季</v>
      </c>
      <c r="D592" t="str">
        <v>qiū jì</v>
      </c>
      <c r="E592" t="str">
        <f>IFERROR(__xludf.DUMMYFUNCTION("GOOGLETRANSLATE(B592,""zh"",""vi"")"),"mùa thu")</f>
        <v>mùa thu</v>
      </c>
      <c r="F592" t="str">
        <v>10. Thời gian</v>
      </c>
    </row>
    <row r="593">
      <c r="A593">
        <v>592</v>
      </c>
      <c r="B593" t="str">
        <v>趋势</v>
      </c>
      <c r="D593" t="str">
        <v>qūshì</v>
      </c>
      <c r="E593" t="str">
        <f>IFERROR(__xludf.DUMMYFUNCTION("GOOGLETRANSLATE(B593,""zh"",""vi"")"),"xu hướng")</f>
        <v>xu hướng</v>
      </c>
      <c r="F593" t="str">
        <v>4. Tư duy &amp; Nhận thức</v>
      </c>
    </row>
    <row r="594">
      <c r="A594">
        <v>593</v>
      </c>
      <c r="B594" t="str">
        <v>圈</v>
      </c>
      <c r="D594" t="str">
        <v>quān</v>
      </c>
      <c r="E594" t="str">
        <f>IFERROR(__xludf.DUMMYFUNCTION("GOOGLETRANSLATE(B594,""zh"",""vi"")"),"khóa")</f>
        <v>khóa</v>
      </c>
      <c r="F594" t="str">
        <v>6. Đồ vật &amp; Công cụ</v>
      </c>
    </row>
    <row r="595">
      <c r="A595">
        <v>594</v>
      </c>
      <c r="B595" t="str">
        <v>权利</v>
      </c>
      <c r="D595" t="str">
        <v>quánlì</v>
      </c>
      <c r="E595" t="str">
        <f>IFERROR(__xludf.DUMMYFUNCTION("GOOGLETRANSLATE(B595,""zh"",""vi"")"),"Phải")</f>
        <v>Phải</v>
      </c>
      <c r="F595" t="str">
        <v>12. Công việc &amp; Nghề nghiệp</v>
      </c>
    </row>
    <row r="596">
      <c r="A596">
        <v>595</v>
      </c>
      <c r="B596" t="str">
        <v>却</v>
      </c>
      <c r="D596" t="str">
        <v>què</v>
      </c>
      <c r="E596" t="str">
        <f>IFERROR(__xludf.DUMMYFUNCTION("GOOGLETRANSLATE(B596,""zh"",""vi"")"),"Nhưng")</f>
        <v>Nhưng</v>
      </c>
      <c r="F596" t="str">
        <v>15. Công cụ ngữ pháp &amp; Cấu trúc</v>
      </c>
    </row>
    <row r="597">
      <c r="A597">
        <v>596</v>
      </c>
      <c r="B597" t="str">
        <v>确认</v>
      </c>
      <c r="D597" t="str">
        <v>quèrèn</v>
      </c>
      <c r="E597" t="str">
        <f>IFERROR(__xludf.DUMMYFUNCTION("GOOGLETRANSLATE(B597,""zh"",""vi"")"),"xác nhận")</f>
        <v>xác nhận</v>
      </c>
      <c r="F597" t="str">
        <v>4. Tư duy &amp; Nhận thức</v>
      </c>
    </row>
    <row r="598">
      <c r="A598">
        <v>597</v>
      </c>
      <c r="B598" t="str">
        <v>然而</v>
      </c>
      <c r="D598" t="str">
        <v>rán’ér</v>
      </c>
      <c r="E598" t="str">
        <f>IFERROR(__xludf.DUMMYFUNCTION("GOOGLETRANSLATE(B598,""zh"",""vi"")"),"Tuy nhiên")</f>
        <v>Tuy nhiên</v>
      </c>
      <c r="F598" t="str">
        <v>15. Công cụ ngữ pháp &amp; Cấu trúc</v>
      </c>
    </row>
    <row r="599">
      <c r="A599">
        <v>598</v>
      </c>
      <c r="B599" t="str">
        <v>燃料</v>
      </c>
      <c r="D599" t="str">
        <v>ránliào</v>
      </c>
      <c r="E599" t="str">
        <f>IFERROR(__xludf.DUMMYFUNCTION("GOOGLETRANSLATE(B599,""zh"",""vi"")"),"nhiên liệu")</f>
        <v>nhiên liệu</v>
      </c>
      <c r="F599" t="str">
        <v>16. Tự nhiên</v>
      </c>
    </row>
    <row r="600">
      <c r="A600">
        <v>599</v>
      </c>
      <c r="B600" t="str">
        <v>燃烧</v>
      </c>
      <c r="D600" t="str">
        <v>ránshāo</v>
      </c>
      <c r="E600" t="str">
        <f>IFERROR(__xludf.DUMMYFUNCTION("GOOGLETRANSLATE(B600,""zh"",""vi"")"),"sự cháy")</f>
        <v>sự cháy</v>
      </c>
      <c r="F600" t="str">
        <v>16. Tự nhiên</v>
      </c>
    </row>
    <row r="601">
      <c r="A601">
        <v>600</v>
      </c>
      <c r="B601" t="str">
        <v>热闹</v>
      </c>
      <c r="D601" t="str">
        <v>rènao</v>
      </c>
      <c r="E601" t="str">
        <f>IFERROR(__xludf.DUMMYFUNCTION("GOOGLETRANSLATE(B601,""zh"",""vi"")"),"sống động")</f>
        <v>sống động</v>
      </c>
      <c r="F601" t="str">
        <v>13. Miêu tả &amp; Đánh giá</v>
      </c>
    </row>
    <row r="602">
      <c r="A602">
        <v>601</v>
      </c>
      <c r="B602" t="str">
        <v>热心</v>
      </c>
      <c r="D602" t="str">
        <v>rèxīn</v>
      </c>
      <c r="E602" t="str">
        <f>IFERROR(__xludf.DUMMYFUNCTION("GOOGLETRANSLATE(B602,""zh"",""vi"")"),"nhiệt tình")</f>
        <v>nhiệt tình</v>
      </c>
      <c r="F602" t="str">
        <v>3. Cảm xúc &amp; Thái độ</v>
      </c>
    </row>
    <row r="603">
      <c r="A603">
        <v>602</v>
      </c>
      <c r="B603" t="str">
        <v>人家</v>
      </c>
      <c r="D603" t="str">
        <v>rénjiā</v>
      </c>
      <c r="E603" t="str">
        <f>IFERROR(__xludf.DUMMYFUNCTION("GOOGLETRANSLATE(B603,""zh"",""vi"")"),"những người khác")</f>
        <v>những người khác</v>
      </c>
      <c r="F603" t="str">
        <v>1. Con người &amp; Các mối quan hệ</v>
      </c>
    </row>
    <row r="604">
      <c r="A604">
        <v>603</v>
      </c>
      <c r="B604" t="str">
        <v>日记</v>
      </c>
      <c r="D604" t="str">
        <v>rìjì</v>
      </c>
      <c r="E604" t="str">
        <f>IFERROR(__xludf.DUMMYFUNCTION("GOOGLETRANSLATE(B604,""zh"",""vi"")"),"tạp chí")</f>
        <v>tạp chí</v>
      </c>
      <c r="F604" t="str">
        <v>5. Đời sống sinh hoạt</v>
      </c>
    </row>
    <row r="605">
      <c r="A605">
        <v>604</v>
      </c>
      <c r="B605" t="str">
        <v>日历</v>
      </c>
      <c r="D605" t="str">
        <v>rìlì</v>
      </c>
      <c r="E605" t="str">
        <f>IFERROR(__xludf.DUMMYFUNCTION("GOOGLETRANSLATE(B605,""zh"",""vi"")"),"lịch")</f>
        <v>lịch</v>
      </c>
      <c r="F605" t="str">
        <v>10. Thời gian</v>
      </c>
    </row>
    <row r="606">
      <c r="A606">
        <v>605</v>
      </c>
      <c r="B606" t="str">
        <v>如今</v>
      </c>
      <c r="D606" t="str">
        <v>rújīn</v>
      </c>
      <c r="E606" t="str">
        <f>IFERROR(__xludf.DUMMYFUNCTION("GOOGLETRANSLATE(B606,""zh"",""vi"")"),"Hiện nay")</f>
        <v>Hiện nay</v>
      </c>
      <c r="F606" t="str">
        <v>10. Thời gian</v>
      </c>
    </row>
    <row r="607">
      <c r="A607">
        <v>606</v>
      </c>
      <c r="B607" t="str">
        <v>弱</v>
      </c>
      <c r="D607" t="str">
        <v>ruò</v>
      </c>
      <c r="E607" t="str">
        <f>IFERROR(__xludf.DUMMYFUNCTION("GOOGLETRANSLATE(B607,""zh"",""vi"")"),"yếu đuối")</f>
        <v>yếu đuối</v>
      </c>
      <c r="F607" t="str">
        <v>13. Miêu tả &amp; Đánh giá</v>
      </c>
    </row>
    <row r="608">
      <c r="A608">
        <v>607</v>
      </c>
      <c r="B608" t="str">
        <v>伞</v>
      </c>
      <c r="D608" t="str">
        <v>sǎn</v>
      </c>
      <c r="E608" t="str">
        <f>IFERROR(__xludf.DUMMYFUNCTION("GOOGLETRANSLATE(B608,""zh"",""vi"")"),"Chiếc ô")</f>
        <v>Chiếc ô</v>
      </c>
      <c r="F608" t="str">
        <v>6. Đồ vật &amp; Công cụ</v>
      </c>
    </row>
    <row r="609">
      <c r="A609">
        <v>608</v>
      </c>
      <c r="B609" t="str">
        <v>散</v>
      </c>
      <c r="D609" t="str">
        <v>sàn</v>
      </c>
      <c r="E609" t="str">
        <f>IFERROR(__xludf.DUMMYFUNCTION("GOOGLETRANSLATE(B609,""zh"",""vi"")"),"Rải rác")</f>
        <v>Rải rác</v>
      </c>
      <c r="F609" t="str">
        <v>5. Đời sống sinh hoạt</v>
      </c>
    </row>
    <row r="610">
      <c r="A610">
        <v>609</v>
      </c>
      <c r="B610" t="str">
        <v>扫</v>
      </c>
      <c r="D610" t="str">
        <v>sǎo</v>
      </c>
      <c r="E610" t="str">
        <f>IFERROR(__xludf.DUMMYFUNCTION("GOOGLETRANSLATE(B610,""zh"",""vi"")"),"quét")</f>
        <v>quét</v>
      </c>
      <c r="F610" t="str">
        <v>5. Đời sống sinh hoạt</v>
      </c>
    </row>
    <row r="611">
      <c r="A611">
        <v>610</v>
      </c>
      <c r="B611" t="str">
        <v>色</v>
      </c>
      <c r="D611" t="str">
        <v>sè</v>
      </c>
      <c r="E611" t="str">
        <f>IFERROR(__xludf.DUMMYFUNCTION("GOOGLETRANSLATE(B611,""zh"",""vi"")"),"màu sắc")</f>
        <v>màu sắc</v>
      </c>
      <c r="F611" t="str">
        <v>13. Miêu tả &amp; Đánh giá</v>
      </c>
    </row>
    <row r="612">
      <c r="A612">
        <v>611</v>
      </c>
      <c r="B612" t="str">
        <v>色彩</v>
      </c>
      <c r="D612" t="str">
        <v>sècǎi</v>
      </c>
      <c r="E612" t="str">
        <f>IFERROR(__xludf.DUMMYFUNCTION("GOOGLETRANSLATE(B612,""zh"",""vi"")"),"màu sắc")</f>
        <v>màu sắc</v>
      </c>
      <c r="F612" t="str">
        <v>13. Miêu tả &amp; Đánh giá</v>
      </c>
    </row>
    <row r="613">
      <c r="A613">
        <v>612</v>
      </c>
      <c r="B613" t="str">
        <v>森林</v>
      </c>
      <c r="D613" t="str">
        <v>sēnlín</v>
      </c>
      <c r="E613" t="str">
        <f>IFERROR(__xludf.DUMMYFUNCTION("GOOGLETRANSLATE(B613,""zh"",""vi"")"),"rừng")</f>
        <v>rừng</v>
      </c>
      <c r="F613" t="str">
        <v>16. Tự nhiên</v>
      </c>
    </row>
    <row r="614">
      <c r="A614">
        <v>613</v>
      </c>
      <c r="B614" t="str">
        <v>晒</v>
      </c>
      <c r="D614" t="str">
        <v>shài</v>
      </c>
      <c r="E614" t="str">
        <f>IFERROR(__xludf.DUMMYFUNCTION("GOOGLETRANSLATE(B614,""zh"",""vi"")"),"mặt trời")</f>
        <v>mặt trời</v>
      </c>
      <c r="F614" t="str">
        <v>16. Tự nhiên</v>
      </c>
    </row>
    <row r="615">
      <c r="A615">
        <v>614</v>
      </c>
      <c r="B615" t="str">
        <v>闪</v>
      </c>
      <c r="D615" t="str">
        <v>shǎn</v>
      </c>
      <c r="E615" t="str">
        <f>IFERROR(__xludf.DUMMYFUNCTION("GOOGLETRANSLATE(B615,""zh"",""vi"")"),"đèn flash")</f>
        <v>đèn flash</v>
      </c>
      <c r="F615" t="str">
        <v>16. Tự nhiên</v>
      </c>
    </row>
    <row r="616">
      <c r="A616">
        <v>615</v>
      </c>
      <c r="B616" t="str">
        <v>闪电</v>
      </c>
      <c r="D616" t="str">
        <v>shǎndiàn</v>
      </c>
      <c r="E616" t="str">
        <f>IFERROR(__xludf.DUMMYFUNCTION("GOOGLETRANSLATE(B616,""zh"",""vi"")"),"sét")</f>
        <v>sét</v>
      </c>
      <c r="F616" t="str">
        <v>16. Tự nhiên</v>
      </c>
    </row>
    <row r="617">
      <c r="A617">
        <v>616</v>
      </c>
      <c r="B617" t="str">
        <v>善良</v>
      </c>
      <c r="D617" t="str">
        <v>shànliáng</v>
      </c>
      <c r="E617" t="str">
        <f>IFERROR(__xludf.DUMMYFUNCTION("GOOGLETRANSLATE(B617,""zh"",""vi"")"),"Loại")</f>
        <v>Loại</v>
      </c>
      <c r="F617" t="str">
        <v>3. Cảm xúc &amp; Thái độ</v>
      </c>
    </row>
    <row r="618">
      <c r="A618">
        <v>617</v>
      </c>
      <c r="B618" t="str">
        <v>善于</v>
      </c>
      <c r="D618" t="str">
        <v>shànyú</v>
      </c>
      <c r="E618" t="str">
        <f>IFERROR(__xludf.DUMMYFUNCTION("GOOGLETRANSLATE(B618,""zh"",""vi"")"),"Giỏi về")</f>
        <v>Giỏi về</v>
      </c>
      <c r="F618" t="str">
        <v>3. Cảm xúc &amp; Thái độ</v>
      </c>
    </row>
    <row r="619">
      <c r="A619">
        <v>618</v>
      </c>
      <c r="B619" t="str">
        <v>伤害</v>
      </c>
      <c r="D619" t="str">
        <v>shānghài</v>
      </c>
      <c r="E619" t="str">
        <f>IFERROR(__xludf.DUMMYFUNCTION("GOOGLETRANSLATE(B619,""zh"",""vi"")"),"làm hại")</f>
        <v>làm hại</v>
      </c>
      <c r="F619" t="str">
        <v>2. Cơ thể &amp; Sức khỏe</v>
      </c>
    </row>
    <row r="620">
      <c r="A620">
        <v>619</v>
      </c>
      <c r="B620" t="str">
        <v>商务</v>
      </c>
      <c r="D620" t="str">
        <v>shāngwù</v>
      </c>
      <c r="E620" t="str">
        <f>IFERROR(__xludf.DUMMYFUNCTION("GOOGLETRANSLATE(B620,""zh"",""vi"")"),"Việc kinh doanh")</f>
        <v>Việc kinh doanh</v>
      </c>
      <c r="F620" t="str">
        <v>12. Công việc &amp; Nghề nghiệp</v>
      </c>
    </row>
    <row r="621">
      <c r="A621">
        <v>620</v>
      </c>
      <c r="B621" t="str">
        <v>赏</v>
      </c>
      <c r="D621" t="str">
        <v>shǎng</v>
      </c>
      <c r="E621" t="str">
        <f>IFERROR(__xludf.DUMMYFUNCTION("GOOGLETRANSLATE(B621,""zh"",""vi"")"),"phần thưởng")</f>
        <v>phần thưởng</v>
      </c>
      <c r="F621" t="str">
        <v>3. Cảm xúc &amp; Thái độ</v>
      </c>
    </row>
    <row r="622">
      <c r="A622">
        <v>621</v>
      </c>
      <c r="B622" t="str">
        <v>上个月</v>
      </c>
      <c r="D622" t="str">
        <v>shàng gè yuè</v>
      </c>
      <c r="E622" t="str">
        <f>IFERROR(__xludf.DUMMYFUNCTION("GOOGLETRANSLATE(B622,""zh"",""vi"")"),"tháng trước")</f>
        <v>tháng trước</v>
      </c>
      <c r="F622" t="str">
        <v>10. Thời gian</v>
      </c>
    </row>
    <row r="623">
      <c r="A623">
        <v>622</v>
      </c>
      <c r="B623" t="str">
        <v>上楼</v>
      </c>
      <c r="D623" t="str">
        <v>shàng lóu</v>
      </c>
      <c r="E623" t="str">
        <f>IFERROR(__xludf.DUMMYFUNCTION("GOOGLETRANSLATE(B623,""zh"",""vi"")"),"Lên lầu")</f>
        <v>Lên lầu</v>
      </c>
      <c r="F623" t="str">
        <v>8. Giao thông &amp; Di chuyển</v>
      </c>
    </row>
    <row r="624">
      <c r="A624">
        <v>623</v>
      </c>
      <c r="B624" t="str">
        <v>上门</v>
      </c>
      <c r="D624" t="str">
        <v>shàng mén</v>
      </c>
      <c r="E624" t="str">
        <f>IFERROR(__xludf.DUMMYFUNCTION("GOOGLETRANSLATE(B624,""zh"",""vi"")"),"Dịch vụ tận nhà")</f>
        <v>Dịch vụ tận nhà</v>
      </c>
      <c r="F624" t="str">
        <v>5. Đời sống sinh hoạt</v>
      </c>
    </row>
    <row r="625">
      <c r="A625">
        <v>624</v>
      </c>
      <c r="B625" t="str">
        <v>烧</v>
      </c>
      <c r="D625" t="str">
        <v>shāo</v>
      </c>
      <c r="E625" t="str">
        <f>IFERROR(__xludf.DUMMYFUNCTION("GOOGLETRANSLATE(B625,""zh"",""vi"")"),"cháy")</f>
        <v>cháy</v>
      </c>
      <c r="F625" t="str">
        <v>5. Đời sống sinh hoạt</v>
      </c>
    </row>
    <row r="626">
      <c r="A626">
        <v>625</v>
      </c>
      <c r="B626" t="str">
        <v>设施</v>
      </c>
      <c r="D626" t="str">
        <v>shèshī</v>
      </c>
      <c r="E626" t="str">
        <f>IFERROR(__xludf.DUMMYFUNCTION("GOOGLETRANSLATE(B626,""zh"",""vi"")"),"cơ sở")</f>
        <v>cơ sở</v>
      </c>
      <c r="F626" t="str">
        <v>7. Địa điểm &amp; Nơi chốn</v>
      </c>
    </row>
    <row r="627">
      <c r="A627">
        <v>626</v>
      </c>
      <c r="B627" t="str">
        <v>设置</v>
      </c>
      <c r="D627" t="str">
        <v>shèzhì</v>
      </c>
      <c r="E627" t="str">
        <f>IFERROR(__xludf.DUMMYFUNCTION("GOOGLETRANSLATE(B627,""zh"",""vi"")"),"cài đặt")</f>
        <v>cài đặt</v>
      </c>
      <c r="F627" t="str">
        <v>6. Đồ vật &amp; Công cụ</v>
      </c>
    </row>
    <row r="628">
      <c r="A628">
        <v>627</v>
      </c>
      <c r="B628" t="str">
        <v>申请</v>
      </c>
      <c r="D628" t="str">
        <v>shēnqǐng</v>
      </c>
      <c r="E628" t="str">
        <f>IFERROR(__xludf.DUMMYFUNCTION("GOOGLETRANSLATE(B628,""zh"",""vi"")"),"Áp dụng")</f>
        <v>Áp dụng</v>
      </c>
      <c r="F628" t="str">
        <v>12. Công việc &amp; Nghề nghiệp</v>
      </c>
    </row>
    <row r="629">
      <c r="A629">
        <v>628</v>
      </c>
      <c r="B629" t="str">
        <v>身材</v>
      </c>
      <c r="D629" t="str">
        <v>shēncái</v>
      </c>
      <c r="E629" t="str">
        <f>IFERROR(__xludf.DUMMYFUNCTION("GOOGLETRANSLATE(B629,""zh"",""vi"")"),"nhân vật")</f>
        <v>nhân vật</v>
      </c>
      <c r="F629" t="str">
        <v>2. Cơ thể &amp; Sức khỏe</v>
      </c>
    </row>
    <row r="630">
      <c r="A630">
        <v>629</v>
      </c>
      <c r="B630" t="str">
        <v>身份</v>
      </c>
      <c r="D630" t="str">
        <v>shēnfèn</v>
      </c>
      <c r="E630" t="str">
        <f>IFERROR(__xludf.DUMMYFUNCTION("GOOGLETRANSLATE(B630,""zh"",""vi"")"),"danh tính")</f>
        <v>danh tính</v>
      </c>
      <c r="F630" t="str">
        <v>1. Con người &amp; Các mối quan hệ</v>
      </c>
    </row>
    <row r="631">
      <c r="A631">
        <v>630</v>
      </c>
      <c r="B631" t="str">
        <v>身高</v>
      </c>
      <c r="D631" t="str">
        <v>shēn gāo</v>
      </c>
      <c r="E631" t="str">
        <f>IFERROR(__xludf.DUMMYFUNCTION("GOOGLETRANSLATE(B631,""zh"",""vi"")"),"chiều cao")</f>
        <v>chiều cao</v>
      </c>
      <c r="F631" t="str">
        <v>2. Cơ thể &amp; Sức khỏe</v>
      </c>
    </row>
    <row r="632">
      <c r="A632">
        <v>631</v>
      </c>
      <c r="B632" t="str">
        <v>深厚</v>
      </c>
      <c r="D632" t="str">
        <v>shēn hòu</v>
      </c>
      <c r="E632" t="str">
        <f>IFERROR(__xludf.DUMMYFUNCTION("GOOGLETRANSLATE(B632,""zh"",""vi"")"),"sâu")</f>
        <v>sâu</v>
      </c>
      <c r="F632" t="str">
        <v>13. Miêu tả &amp; Đánh giá</v>
      </c>
    </row>
    <row r="633">
      <c r="A633">
        <v>632</v>
      </c>
      <c r="B633" t="str">
        <v>神话</v>
      </c>
      <c r="D633" t="str">
        <v>shénhuà</v>
      </c>
      <c r="E633" t="str">
        <f>IFERROR(__xludf.DUMMYFUNCTION("GOOGLETRANSLATE(B633,""zh"",""vi"")"),"thần thoại")</f>
        <v>thần thoại</v>
      </c>
      <c r="F633" t="str">
        <v>4. Tư duy &amp; Nhận thức</v>
      </c>
    </row>
    <row r="634">
      <c r="A634">
        <v>633</v>
      </c>
      <c r="B634" t="str">
        <v>神秘</v>
      </c>
      <c r="D634" t="str">
        <v>shénmì</v>
      </c>
      <c r="E634" t="str">
        <f>IFERROR(__xludf.DUMMYFUNCTION("GOOGLETRANSLATE(B634,""zh"",""vi"")"),"bí ẩn")</f>
        <v>bí ẩn</v>
      </c>
      <c r="F634" t="str">
        <v>13. Miêu tả &amp; Đánh giá</v>
      </c>
    </row>
    <row r="635">
      <c r="A635">
        <v>634</v>
      </c>
      <c r="B635" t="str">
        <v>甚至</v>
      </c>
      <c r="D635" t="str">
        <v>shènzhì</v>
      </c>
      <c r="E635" t="str">
        <f>IFERROR(__xludf.DUMMYFUNCTION("GOOGLETRANSLATE(B635,""zh"",""vi"")"),"thậm chí")</f>
        <v>thậm chí</v>
      </c>
      <c r="F635" t="str">
        <v>15. Công cụ ngữ pháp &amp; Cấu trúc</v>
      </c>
    </row>
    <row r="636">
      <c r="A636">
        <v>635</v>
      </c>
      <c r="B636" t="str">
        <v>失败</v>
      </c>
      <c r="D636" t="str">
        <v>shībài</v>
      </c>
      <c r="E636" t="str">
        <f>IFERROR(__xludf.DUMMYFUNCTION("GOOGLETRANSLATE(B636,""zh"",""vi"")"),"thất bại")</f>
        <v>thất bại</v>
      </c>
      <c r="F636" t="str">
        <v>3. Cảm xúc &amp; Thái độ</v>
      </c>
    </row>
    <row r="637">
      <c r="A637">
        <v>636</v>
      </c>
      <c r="B637" t="str">
        <v>失望</v>
      </c>
      <c r="D637" t="str">
        <v>shīwàng</v>
      </c>
      <c r="E637" t="str">
        <f>IFERROR(__xludf.DUMMYFUNCTION("GOOGLETRANSLATE(B637,""zh"",""vi"")"),"sự thất vọng")</f>
        <v>sự thất vọng</v>
      </c>
      <c r="F637" t="str">
        <v>3. Cảm xúc &amp; Thái độ</v>
      </c>
    </row>
    <row r="638">
      <c r="A638">
        <v>637</v>
      </c>
      <c r="B638" t="str">
        <v>失业</v>
      </c>
      <c r="D638" t="str">
        <v>shīyè</v>
      </c>
      <c r="E638" t="str">
        <f>IFERROR(__xludf.DUMMYFUNCTION("GOOGLETRANSLATE(B638,""zh"",""vi"")"),"nạn thất nghiệp")</f>
        <v>nạn thất nghiệp</v>
      </c>
      <c r="F638" t="str">
        <v>12. Công việc &amp; Nghề nghiệp</v>
      </c>
    </row>
    <row r="639">
      <c r="A639">
        <v>638</v>
      </c>
      <c r="B639" t="str">
        <v>诗</v>
      </c>
      <c r="D639" t="str">
        <v>shī</v>
      </c>
      <c r="E639" t="str">
        <f>IFERROR(__xludf.DUMMYFUNCTION("GOOGLETRANSLATE(B639,""zh"",""vi"")"),"thơ")</f>
        <v>thơ</v>
      </c>
      <c r="F639" t="str">
        <v>4. Tư duy &amp; Nhận thức</v>
      </c>
    </row>
    <row r="640">
      <c r="A640">
        <v>639</v>
      </c>
      <c r="B640" t="str">
        <v>诗人</v>
      </c>
      <c r="D640" t="str">
        <v>shīrén</v>
      </c>
      <c r="E640" t="str">
        <f>IFERROR(__xludf.DUMMYFUNCTION("GOOGLETRANSLATE(B640,""zh"",""vi"")"),"nhà thơ")</f>
        <v>nhà thơ</v>
      </c>
      <c r="F640" t="str">
        <v>1. Con người &amp; Các mối quan hệ</v>
      </c>
    </row>
    <row r="641">
      <c r="A641">
        <v>640</v>
      </c>
      <c r="B641" t="str">
        <v>湿</v>
      </c>
      <c r="D641" t="str">
        <v>shī</v>
      </c>
      <c r="E641" t="str">
        <f>IFERROR(__xludf.DUMMYFUNCTION("GOOGLETRANSLATE(B641,""zh"",""vi"")"),"ướt")</f>
        <v>ướt</v>
      </c>
      <c r="F641" t="str">
        <v>13. Miêu tả &amp; Đánh giá</v>
      </c>
    </row>
    <row r="642">
      <c r="A642">
        <v>641</v>
      </c>
      <c r="B642" t="str">
        <v>实施</v>
      </c>
      <c r="D642" t="str">
        <v>shíshī</v>
      </c>
      <c r="E642" t="str">
        <f>IFERROR(__xludf.DUMMYFUNCTION("GOOGLETRANSLATE(B642,""zh"",""vi"")"),"Triển khai")</f>
        <v>Triển khai</v>
      </c>
      <c r="F642" t="str">
        <v>12. Công việc &amp; Nghề nghiệp</v>
      </c>
    </row>
    <row r="643">
      <c r="A643">
        <v>642</v>
      </c>
      <c r="B643" t="str">
        <v>实用</v>
      </c>
      <c r="D643" t="str">
        <v>shíyòng</v>
      </c>
      <c r="E643" t="str">
        <f>IFERROR(__xludf.DUMMYFUNCTION("GOOGLETRANSLATE(B643,""zh"",""vi"")"),"thực tế")</f>
        <v>thực tế</v>
      </c>
      <c r="F643" t="str">
        <v>13. Miêu tả &amp; Đánh giá</v>
      </c>
    </row>
    <row r="644">
      <c r="A644">
        <v>643</v>
      </c>
      <c r="B644" t="str">
        <v>食堂</v>
      </c>
      <c r="D644" t="str">
        <v>shítáng</v>
      </c>
      <c r="E644" t="str">
        <f>IFERROR(__xludf.DUMMYFUNCTION("GOOGLETRANSLATE(B644,""zh"",""vi"")"),"căng tin")</f>
        <v>căng tin</v>
      </c>
      <c r="F644" t="str">
        <v>7. Địa điểm &amp; Nơi chốn</v>
      </c>
    </row>
    <row r="645">
      <c r="A645">
        <v>644</v>
      </c>
      <c r="B645" t="str">
        <v>使劲</v>
      </c>
      <c r="D645" t="str">
        <v>shǐ jìn</v>
      </c>
      <c r="E645" t="str">
        <f>IFERROR(__xludf.DUMMYFUNCTION("GOOGLETRANSLATE(B645,""zh"",""vi"")"),"tác dụng lực")</f>
        <v>tác dụng lực</v>
      </c>
      <c r="F645" t="str">
        <v>2. Cơ thể &amp; Sức khỏe</v>
      </c>
    </row>
    <row r="646">
      <c r="A646">
        <v>645</v>
      </c>
      <c r="B646" t="str">
        <v>士兵</v>
      </c>
      <c r="D646" t="str">
        <v>shìbīng</v>
      </c>
      <c r="E646" t="str">
        <f>IFERROR(__xludf.DUMMYFUNCTION("GOOGLETRANSLATE(B646,""zh"",""vi"")"),"Lính")</f>
        <v>Lính</v>
      </c>
      <c r="F646" t="str">
        <v>1. Con người &amp; Các mối quan hệ</v>
      </c>
    </row>
    <row r="647">
      <c r="A647">
        <v>646</v>
      </c>
      <c r="B647" t="str">
        <v>市区</v>
      </c>
      <c r="D647" t="str">
        <v>shìqū</v>
      </c>
      <c r="E647" t="str">
        <f>IFERROR(__xludf.DUMMYFUNCTION("GOOGLETRANSLATE(B647,""zh"",""vi"")"),"Khu vực đô thị")</f>
        <v>Khu vực đô thị</v>
      </c>
      <c r="F647" t="str">
        <v>7. Địa điểm &amp; Nơi chốn</v>
      </c>
    </row>
    <row r="648">
      <c r="A648">
        <v>647</v>
      </c>
      <c r="B648" t="str">
        <v>似的</v>
      </c>
      <c r="D648" t="str">
        <v>shìde</v>
      </c>
      <c r="E648" t="str">
        <f>IFERROR(__xludf.DUMMYFUNCTION("GOOGLETRANSLATE(B648,""zh"",""vi"")"),"Giống")</f>
        <v>Giống</v>
      </c>
      <c r="F648" t="str">
        <v>15. Công cụ ngữ pháp &amp; Cấu trúc</v>
      </c>
    </row>
    <row r="649">
      <c r="A649">
        <v>648</v>
      </c>
      <c r="B649" t="str">
        <v>事物</v>
      </c>
      <c r="D649" t="str">
        <v>shìwù</v>
      </c>
      <c r="E649" t="str">
        <f>IFERROR(__xludf.DUMMYFUNCTION("GOOGLETRANSLATE(B649,""zh"",""vi"")"),"điều")</f>
        <v>điều</v>
      </c>
      <c r="F649" t="str">
        <v>4. Tư duy &amp; Nhận thức</v>
      </c>
    </row>
    <row r="650">
      <c r="A650">
        <v>649</v>
      </c>
      <c r="B650" t="str">
        <v>事先</v>
      </c>
      <c r="D650" t="str">
        <v>shìxiān</v>
      </c>
      <c r="E650" t="str">
        <f>IFERROR(__xludf.DUMMYFUNCTION("GOOGLETRANSLATE(B650,""zh"",""vi"")"),"trước")</f>
        <v>trước</v>
      </c>
      <c r="F650" t="str">
        <v>10. Thời gian</v>
      </c>
    </row>
    <row r="651">
      <c r="A651">
        <v>650</v>
      </c>
      <c r="B651" t="str">
        <v>试卷</v>
      </c>
      <c r="D651" t="str">
        <v>shìjuàn</v>
      </c>
      <c r="E651" t="str">
        <f>IFERROR(__xludf.DUMMYFUNCTION("GOOGLETRANSLATE(B651,""zh"",""vi"")"),"Bài kiểm tra")</f>
        <v>Bài kiểm tra</v>
      </c>
      <c r="F651" t="str">
        <v>12. Công việc &amp; Nghề nghiệp</v>
      </c>
    </row>
    <row r="652">
      <c r="A652">
        <v>651</v>
      </c>
      <c r="B652" t="str">
        <v>是否</v>
      </c>
      <c r="D652" t="str">
        <v>shìfǒu</v>
      </c>
      <c r="E652" t="str">
        <f>IFERROR(__xludf.DUMMYFUNCTION("GOOGLETRANSLATE(B652,""zh"",""vi"")"),"liệu")</f>
        <v>liệu</v>
      </c>
      <c r="F652" t="str">
        <v>15. Công cụ ngữ pháp &amp; Cấu trúc</v>
      </c>
    </row>
    <row r="653">
      <c r="A653">
        <v>652</v>
      </c>
      <c r="B653" t="str">
        <v>收回</v>
      </c>
      <c r="D653" t="str">
        <v>shōuhuí</v>
      </c>
      <c r="E653" t="str">
        <f>IFERROR(__xludf.DUMMYFUNCTION("GOOGLETRANSLATE(B653,""zh"",""vi"")"),"Khôi phục")</f>
        <v>Khôi phục</v>
      </c>
      <c r="F653" t="str">
        <v>12. Công việc &amp; Nghề nghiệp</v>
      </c>
    </row>
    <row r="654">
      <c r="A654">
        <v>653</v>
      </c>
      <c r="B654" t="str">
        <v>收获</v>
      </c>
      <c r="D654" t="str">
        <v>shōuhuò</v>
      </c>
      <c r="E654" t="str">
        <f>IFERROR(__xludf.DUMMYFUNCTION("GOOGLETRANSLATE(B654,""zh"",""vi"")"),"Mùa gặt")</f>
        <v>Mùa gặt</v>
      </c>
      <c r="F654" t="str">
        <v>12. Công việc &amp; Nghề nghiệp</v>
      </c>
    </row>
    <row r="655">
      <c r="A655">
        <v>654</v>
      </c>
      <c r="B655" t="str">
        <v>收益</v>
      </c>
      <c r="D655" t="str">
        <v>shōuyì</v>
      </c>
      <c r="E655" t="str">
        <f>IFERROR(__xludf.DUMMYFUNCTION("GOOGLETRANSLATE(B655,""zh"",""vi"")"),"thu nhập")</f>
        <v>thu nhập</v>
      </c>
      <c r="F655" t="str">
        <v>12. Công việc &amp; Nghề nghiệp</v>
      </c>
    </row>
    <row r="656">
      <c r="A656">
        <v>655</v>
      </c>
      <c r="B656" t="str">
        <v>手工</v>
      </c>
      <c r="D656" t="str">
        <v>shǒugōng</v>
      </c>
      <c r="E656" t="str">
        <f>IFERROR(__xludf.DUMMYFUNCTION("GOOGLETRANSLATE(B656,""zh"",""vi"")"),"thủ công")</f>
        <v>thủ công</v>
      </c>
      <c r="F656" t="str">
        <v>12. Công việc &amp; Nghề nghiệp</v>
      </c>
    </row>
    <row r="657">
      <c r="A657">
        <v>656</v>
      </c>
      <c r="B657" t="str">
        <v>手里</v>
      </c>
      <c r="D657" t="str">
        <v>shǒu lǐ</v>
      </c>
      <c r="E657" t="str">
        <f>IFERROR(__xludf.DUMMYFUNCTION("GOOGLETRANSLATE(B657,""zh"",""vi"")"),"Trong tay")</f>
        <v>Trong tay</v>
      </c>
      <c r="F657" t="str">
        <v>9. Không gian &amp; Vị trí</v>
      </c>
    </row>
    <row r="658">
      <c r="A658">
        <v>657</v>
      </c>
      <c r="B658" t="str">
        <v>手术</v>
      </c>
      <c r="D658" t="str">
        <v>shǒushù</v>
      </c>
      <c r="E658" t="str">
        <f>IFERROR(__xludf.DUMMYFUNCTION("GOOGLETRANSLATE(B658,""zh"",""vi"")"),"Hoạt động")</f>
        <v>Hoạt động</v>
      </c>
      <c r="F658" t="str">
        <v>2. Cơ thể &amp; Sức khỏe</v>
      </c>
    </row>
    <row r="659">
      <c r="A659">
        <v>658</v>
      </c>
      <c r="B659" t="str">
        <v>手套</v>
      </c>
      <c r="D659" t="str">
        <v>shǒutào</v>
      </c>
      <c r="E659" t="str">
        <f>IFERROR(__xludf.DUMMYFUNCTION("GOOGLETRANSLATE(B659,""zh"",""vi"")"),"Găng tay")</f>
        <v>Găng tay</v>
      </c>
      <c r="F659" t="str">
        <v>6. Đồ vật &amp; Công cụ</v>
      </c>
    </row>
    <row r="660">
      <c r="A660">
        <v>659</v>
      </c>
      <c r="B660" t="str">
        <v>守</v>
      </c>
      <c r="D660" t="str">
        <v>shǒu</v>
      </c>
      <c r="E660" t="str">
        <f>IFERROR(__xludf.DUMMYFUNCTION("GOOGLETRANSLATE(B660,""zh"",""vi"")"),"Người bảo vệ")</f>
        <v>Người bảo vệ</v>
      </c>
      <c r="F660" t="str">
        <v>3. Cảm xúc &amp; Thái độ</v>
      </c>
    </row>
    <row r="661">
      <c r="A661">
        <v>660</v>
      </c>
      <c r="B661" t="str">
        <v>首（量）</v>
      </c>
      <c r="D661" t="str">
        <v>shǒu</v>
      </c>
      <c r="E661" t="str">
        <f>IFERROR(__xludf.DUMMYFUNCTION("GOOGLETRANSLATE(B661,""zh"",""vi"")"),"Thứ nhất (Số lượng)")</f>
        <v>Thứ nhất (Số lượng)</v>
      </c>
      <c r="F661" t="str">
        <v>14. Số lượng &amp; Đo lường</v>
      </c>
    </row>
    <row r="662">
      <c r="A662">
        <v>661</v>
      </c>
      <c r="B662" t="str">
        <v>受不了</v>
      </c>
      <c r="D662" t="str">
        <v>shòubuliǎo</v>
      </c>
      <c r="E662" t="str">
        <f>IFERROR(__xludf.DUMMYFUNCTION("GOOGLETRANSLATE(B662,""zh"",""vi"")"),"Tôi không thể chịu đựng được điều đó")</f>
        <v>Tôi không thể chịu đựng được điều đó</v>
      </c>
      <c r="F662" t="str">
        <v>3. Cảm xúc &amp; Thái độ</v>
      </c>
    </row>
    <row r="663">
      <c r="A663">
        <v>662</v>
      </c>
      <c r="B663" t="str">
        <v>售货员</v>
      </c>
      <c r="D663" t="str">
        <v>shòuhuòyuán</v>
      </c>
      <c r="E663" t="str">
        <f>IFERROR(__xludf.DUMMYFUNCTION("GOOGLETRANSLATE(B663,""zh"",""vi"")"),"Nhân viên bán hàng")</f>
        <v>Nhân viên bán hàng</v>
      </c>
      <c r="F663" t="str">
        <v>12. Công việc &amp; Nghề nghiệp</v>
      </c>
    </row>
    <row r="664">
      <c r="A664">
        <v>663</v>
      </c>
      <c r="B664" t="str">
        <v>叔叔</v>
      </c>
      <c r="D664" t="str">
        <v>shūshu</v>
      </c>
      <c r="E664" t="str">
        <f>IFERROR(__xludf.DUMMYFUNCTION("GOOGLETRANSLATE(B664,""zh"",""vi"")"),"chú ")</f>
        <v xml:space="preserve">chú </v>
      </c>
      <c r="F664" t="str">
        <v>1. Con người &amp; Các mối quan hệ</v>
      </c>
    </row>
    <row r="665">
      <c r="A665">
        <v>664</v>
      </c>
      <c r="B665" t="str">
        <v>舒适</v>
      </c>
      <c r="D665" t="str">
        <v>shūshì</v>
      </c>
      <c r="E665" t="str">
        <f>IFERROR(__xludf.DUMMYFUNCTION("GOOGLETRANSLATE(B665,""zh"",""vi"")"),"An ủi")</f>
        <v>An ủi</v>
      </c>
      <c r="F665" t="str">
        <v>3. Cảm xúc &amp; Thái độ</v>
      </c>
    </row>
    <row r="666">
      <c r="A666">
        <v>665</v>
      </c>
      <c r="B666" t="str">
        <v>熟练</v>
      </c>
      <c r="D666" t="str">
        <v>shúliàn</v>
      </c>
      <c r="E666" t="str">
        <f>IFERROR(__xludf.DUMMYFUNCTION("GOOGLETRANSLATE(B666,""zh"",""vi"")"),"có kỹ năng")</f>
        <v>có kỹ năng</v>
      </c>
      <c r="F666" t="str">
        <v>13. Miêu tả &amp; Đánh giá</v>
      </c>
    </row>
    <row r="667">
      <c r="A667">
        <v>666</v>
      </c>
      <c r="B667" t="str">
        <v>暑假</v>
      </c>
      <c r="D667" t="str">
        <v>shǔjià</v>
      </c>
      <c r="E667" t="str">
        <f>IFERROR(__xludf.DUMMYFUNCTION("GOOGLETRANSLATE(B667,""zh"",""vi"")"),"kỳ nghỉ hè")</f>
        <v>kỳ nghỉ hè</v>
      </c>
      <c r="F667" t="str">
        <v>10. Thời gian</v>
      </c>
    </row>
    <row r="668">
      <c r="A668">
        <v>667</v>
      </c>
      <c r="B668" t="str">
        <v>树林</v>
      </c>
      <c r="D668" t="str">
        <v>shùlín</v>
      </c>
      <c r="E668" t="str">
        <f>IFERROR(__xludf.DUMMYFUNCTION("GOOGLETRANSLATE(B668,""zh"",""vi"")"),"rừng")</f>
        <v>rừng</v>
      </c>
      <c r="F668" t="str">
        <v>16. Tự nhiên</v>
      </c>
    </row>
    <row r="669">
      <c r="A669">
        <v>668</v>
      </c>
      <c r="B669" t="str">
        <v>树叶</v>
      </c>
      <c r="D669" t="str">
        <v>shù yè</v>
      </c>
      <c r="E669" t="str">
        <f>IFERROR(__xludf.DUMMYFUNCTION("GOOGLETRANSLATE(B669,""zh"",""vi"")"),"Lá")</f>
        <v>Lá</v>
      </c>
      <c r="F669" t="str">
        <v>16. Tự nhiên</v>
      </c>
    </row>
    <row r="670">
      <c r="A670">
        <v>669</v>
      </c>
      <c r="B670" t="str">
        <v>数据</v>
      </c>
      <c r="D670" t="str">
        <v>shùjù</v>
      </c>
      <c r="E670" t="str">
        <f>IFERROR(__xludf.DUMMYFUNCTION("GOOGLETRANSLATE(B670,""zh"",""vi"")"),"dữ liệu")</f>
        <v>dữ liệu</v>
      </c>
      <c r="F670" t="str">
        <v>12. Công việc &amp; Nghề nghiệp</v>
      </c>
    </row>
    <row r="671">
      <c r="A671">
        <v>670</v>
      </c>
      <c r="B671" t="str">
        <v>数码</v>
      </c>
      <c r="D671" t="str">
        <v>shùmǎ</v>
      </c>
      <c r="E671" t="str">
        <f>IFERROR(__xludf.DUMMYFUNCTION("GOOGLETRANSLATE(B671,""zh"",""vi"")"),"Điện tử")</f>
        <v>Điện tử</v>
      </c>
      <c r="F671" t="str">
        <v>6. Đồ vật &amp; Công cụ</v>
      </c>
    </row>
    <row r="672">
      <c r="A672">
        <v>671</v>
      </c>
      <c r="B672" t="str">
        <v>刷</v>
      </c>
      <c r="D672" t="str">
        <v>shuā</v>
      </c>
      <c r="E672" t="str">
        <f>IFERROR(__xludf.DUMMYFUNCTION("GOOGLETRANSLATE(B672,""zh"",""vi"")"),"chải")</f>
        <v>chải</v>
      </c>
      <c r="F672" t="str">
        <v>6. Đồ vật &amp; Công cụ</v>
      </c>
    </row>
    <row r="673">
      <c r="A673">
        <v>672</v>
      </c>
      <c r="B673" t="str">
        <v>刷牙</v>
      </c>
      <c r="D673" t="str">
        <v>shuāyá</v>
      </c>
      <c r="E673" t="str">
        <f>IFERROR(__xludf.DUMMYFUNCTION("GOOGLETRANSLATE(B673,""zh"",""vi"")"),"đánh răng")</f>
        <v>đánh răng</v>
      </c>
      <c r="F673" t="str">
        <v>5. Đời sống sinh hoạt</v>
      </c>
    </row>
    <row r="674">
      <c r="A674">
        <v>673</v>
      </c>
      <c r="B674" t="str">
        <v>刷子</v>
      </c>
      <c r="D674" t="str">
        <v>shuāzi</v>
      </c>
      <c r="E674" t="str">
        <f>IFERROR(__xludf.DUMMYFUNCTION("GOOGLETRANSLATE(B674,""zh"",""vi"")"),"chải")</f>
        <v>chải</v>
      </c>
      <c r="F674" t="str">
        <v>6. Đồ vật &amp; Công cụ</v>
      </c>
    </row>
    <row r="675">
      <c r="A675">
        <v>674</v>
      </c>
      <c r="B675" t="str">
        <v>帅</v>
      </c>
      <c r="D675" t="str">
        <v>shuài</v>
      </c>
      <c r="E675" t="str">
        <f>IFERROR(__xludf.DUMMYFUNCTION("GOOGLETRANSLATE(B675,""zh"",""vi"")"),"đẹp trai")</f>
        <v>đẹp trai</v>
      </c>
      <c r="F675" t="str">
        <v>13. Miêu tả &amp; Đánh giá</v>
      </c>
    </row>
    <row r="676">
      <c r="A676">
        <v>675</v>
      </c>
      <c r="B676" t="str">
        <v>帅哥</v>
      </c>
      <c r="D676" t="str">
        <v>shuài gē</v>
      </c>
      <c r="E676" t="str">
        <f>IFERROR(__xludf.DUMMYFUNCTION("GOOGLETRANSLATE(B676,""zh"",""vi"")"),"chàng trai đẹp trai")</f>
        <v>chàng trai đẹp trai</v>
      </c>
      <c r="F676" t="str">
        <v>1. Con người &amp; Các mối quan hệ</v>
      </c>
    </row>
    <row r="677">
      <c r="A677">
        <v>676</v>
      </c>
      <c r="B677" t="str">
        <v>率先</v>
      </c>
      <c r="D677" t="str">
        <v>shuài xiān</v>
      </c>
      <c r="E677" t="str">
        <f>IFERROR(__xludf.DUMMYFUNCTION("GOOGLETRANSLATE(B677,""zh"",""vi"")"),"Đầu tiên")</f>
        <v>Đầu tiên</v>
      </c>
      <c r="F677" t="str">
        <v>3. Cảm xúc &amp; Thái độ</v>
      </c>
    </row>
    <row r="678">
      <c r="A678">
        <v>677</v>
      </c>
      <c r="B678" t="str">
        <v>睡着</v>
      </c>
      <c r="D678" t="str">
        <v>shuìzháo</v>
      </c>
      <c r="E678" t="str">
        <f>IFERROR(__xludf.DUMMYFUNCTION("GOOGLETRANSLATE(B678,""zh"",""vi"")"),"ngủ")</f>
        <v>ngủ</v>
      </c>
      <c r="F678" t="str">
        <v>5. Đời sống sinh hoạt</v>
      </c>
    </row>
    <row r="679">
      <c r="A679">
        <v>678</v>
      </c>
      <c r="B679" t="str">
        <v>顺序</v>
      </c>
      <c r="D679" t="str">
        <v>shùnxù</v>
      </c>
      <c r="E679" t="str">
        <f>IFERROR(__xludf.DUMMYFUNCTION("GOOGLETRANSLATE(B679,""zh"",""vi"")"),"đặt hàng")</f>
        <v>đặt hàng</v>
      </c>
      <c r="F679" t="str">
        <v>14. Số lượng &amp; Đo lường</v>
      </c>
    </row>
    <row r="680">
      <c r="A680">
        <v>679</v>
      </c>
      <c r="B680" t="str">
        <v>说不定</v>
      </c>
      <c r="D680" t="str">
        <v>shuōbudìng</v>
      </c>
      <c r="E680" t="str">
        <f>IFERROR(__xludf.DUMMYFUNCTION("GOOGLETRANSLATE(B680,""zh"",""vi"")"),"Có lẽ")</f>
        <v>Có lẽ</v>
      </c>
      <c r="F680" t="str">
        <v>4. Tư duy &amp; Nhận thức</v>
      </c>
    </row>
    <row r="681">
      <c r="A681">
        <v>680</v>
      </c>
      <c r="B681" t="str">
        <v>说服</v>
      </c>
      <c r="D681" t="str">
        <v>shuōfú</v>
      </c>
      <c r="E681" t="str">
        <f>IFERROR(__xludf.DUMMYFUNCTION("GOOGLETRANSLATE(B681,""zh"",""vi"")"),"thuyết phục")</f>
        <v>thuyết phục</v>
      </c>
      <c r="F681" t="str">
        <v>4. Tư duy &amp; Nhận thức</v>
      </c>
    </row>
    <row r="682">
      <c r="A682">
        <v>681</v>
      </c>
      <c r="B682" t="str">
        <v>思考</v>
      </c>
      <c r="D682" t="str">
        <v>sīkǎo</v>
      </c>
      <c r="E682" t="str">
        <f>IFERROR(__xludf.DUMMYFUNCTION("GOOGLETRANSLATE(B682,""zh"",""vi"")"),"nghĩ")</f>
        <v>nghĩ</v>
      </c>
      <c r="F682" t="str">
        <v>4. Tư duy &amp; Nhận thức</v>
      </c>
    </row>
    <row r="683">
      <c r="A683">
        <v>682</v>
      </c>
      <c r="B683" t="str">
        <v>似乎</v>
      </c>
      <c r="D683" t="str">
        <v>sìhū</v>
      </c>
      <c r="E683" t="str">
        <f>IFERROR(__xludf.DUMMYFUNCTION("GOOGLETRANSLATE(B683,""zh"",""vi"")"),"có vẻ")</f>
        <v>có vẻ</v>
      </c>
      <c r="F683" t="str">
        <v>4. Tư duy &amp; Nhận thức</v>
      </c>
    </row>
    <row r="684">
      <c r="A684">
        <v>683</v>
      </c>
      <c r="B684" t="str">
        <v>松</v>
      </c>
      <c r="D684" t="str">
        <v>sōng</v>
      </c>
      <c r="E684" t="str">
        <f>IFERROR(__xludf.DUMMYFUNCTION("GOOGLETRANSLATE(B684,""zh"",""vi"")"),"lỏng lẻo")</f>
        <v>lỏng lẻo</v>
      </c>
      <c r="F684" t="str">
        <v>13. Miêu tả &amp; Đánh giá</v>
      </c>
    </row>
    <row r="685">
      <c r="A685">
        <v>684</v>
      </c>
      <c r="B685" t="str">
        <v>松树</v>
      </c>
      <c r="D685" t="str">
        <v>sōng shù</v>
      </c>
      <c r="E685" t="str">
        <f>IFERROR(__xludf.DUMMYFUNCTION("GOOGLETRANSLATE(B685,""zh"",""vi"")"),"cây thông")</f>
        <v>cây thông</v>
      </c>
      <c r="F685" t="str">
        <v>16. Tự nhiên</v>
      </c>
    </row>
    <row r="686">
      <c r="A686">
        <v>685</v>
      </c>
      <c r="B686" t="str">
        <v>塑料</v>
      </c>
      <c r="D686" t="str">
        <v>sùliào</v>
      </c>
      <c r="E686" t="str">
        <f>IFERROR(__xludf.DUMMYFUNCTION("GOOGLETRANSLATE(B686,""zh"",""vi"")"),"nhựa")</f>
        <v>nhựa</v>
      </c>
      <c r="F686" t="str">
        <v>6. Đồ vật &amp; Công cụ</v>
      </c>
    </row>
    <row r="687">
      <c r="A687">
        <v>686</v>
      </c>
      <c r="B687" t="str">
        <v>塑料袋</v>
      </c>
      <c r="D687" t="str">
        <v>sùliàodài</v>
      </c>
      <c r="E687" t="str">
        <f>IFERROR(__xludf.DUMMYFUNCTION("GOOGLETRANSLATE(B687,""zh"",""vi"")"),"túi nhựa")</f>
        <v>túi nhựa</v>
      </c>
      <c r="F687" t="str">
        <v>6. Đồ vật &amp; Công cụ</v>
      </c>
    </row>
    <row r="688">
      <c r="A688">
        <v>687</v>
      </c>
      <c r="B688" t="str">
        <v>酸</v>
      </c>
      <c r="D688" t="str">
        <v>suān</v>
      </c>
      <c r="E688" t="str">
        <f>IFERROR(__xludf.DUMMYFUNCTION("GOOGLETRANSLATE(B688,""zh"",""vi"")"),"axit")</f>
        <v>axit</v>
      </c>
      <c r="F688" t="str">
        <v>13. Miêu tả &amp; Đánh giá</v>
      </c>
    </row>
    <row r="689">
      <c r="A689">
        <v>688</v>
      </c>
      <c r="B689" t="str">
        <v>酸奶</v>
      </c>
      <c r="D689" t="str">
        <v>suān nǎi</v>
      </c>
      <c r="E689" t="str">
        <f>IFERROR(__xludf.DUMMYFUNCTION("GOOGLETRANSLATE(B689,""zh"",""vi"")"),"da ua")</f>
        <v>da ua</v>
      </c>
      <c r="F689" t="str">
        <v>5. Đời sống sinh hoạt</v>
      </c>
    </row>
    <row r="690">
      <c r="A690">
        <v>689</v>
      </c>
      <c r="B690" t="str">
        <v>随手</v>
      </c>
      <c r="D690" t="str">
        <v>suíshǒu</v>
      </c>
      <c r="E690" t="str">
        <f>IFERROR(__xludf.DUMMYFUNCTION("GOOGLETRANSLATE(B690,""zh"",""vi"")"),"một cách tình cờ")</f>
        <v>một cách tình cờ</v>
      </c>
      <c r="F690" t="str">
        <v>3. Cảm xúc &amp; Thái độ</v>
      </c>
    </row>
    <row r="691">
      <c r="A691">
        <v>690</v>
      </c>
      <c r="B691" t="str">
        <v>孙女</v>
      </c>
      <c r="D691" t="str">
        <v>sūn nǚ</v>
      </c>
      <c r="E691" t="str">
        <f>IFERROR(__xludf.DUMMYFUNCTION("GOOGLETRANSLATE(B691,""zh"",""vi"")"),"cháu gái")</f>
        <v>cháu gái</v>
      </c>
      <c r="F691" t="str">
        <v>1. Con người &amp; Các mối quan hệ</v>
      </c>
    </row>
    <row r="692">
      <c r="A692">
        <v>691</v>
      </c>
      <c r="B692" t="str">
        <v>孙子</v>
      </c>
      <c r="D692" t="str">
        <v>sūnzi</v>
      </c>
      <c r="E692" t="str">
        <f>IFERROR(__xludf.DUMMYFUNCTION("GOOGLETRANSLATE(B692,""zh"",""vi"")"),"cháu trai")</f>
        <v>cháu trai</v>
      </c>
      <c r="F692" t="str">
        <v>1. Con người &amp; Các mối quan hệ</v>
      </c>
    </row>
    <row r="693">
      <c r="A693">
        <v>692</v>
      </c>
      <c r="B693" t="str">
        <v>缩短</v>
      </c>
      <c r="D693" t="str">
        <v>suōduǎn</v>
      </c>
      <c r="E693" t="str">
        <f>IFERROR(__xludf.DUMMYFUNCTION("GOOGLETRANSLATE(B693,""zh"",""vi"")"),"rút ngắn")</f>
        <v>rút ngắn</v>
      </c>
      <c r="F693" t="str">
        <v>14. Số lượng &amp; Đo lường</v>
      </c>
    </row>
    <row r="694">
      <c r="A694">
        <v>693</v>
      </c>
      <c r="B694" t="str">
        <v>缩小</v>
      </c>
      <c r="D694" t="str">
        <v>suōxiǎo</v>
      </c>
      <c r="E694" t="str">
        <f>IFERROR(__xludf.DUMMYFUNCTION("GOOGLETRANSLATE(B694,""zh"",""vi"")"),"Thu nhỏ")</f>
        <v>Thu nhỏ</v>
      </c>
      <c r="F694" t="str">
        <v>14. Số lượng &amp; Đo lường</v>
      </c>
    </row>
    <row r="695">
      <c r="A695">
        <v>694</v>
      </c>
      <c r="B695" t="str">
        <v>台阶</v>
      </c>
      <c r="D695" t="str">
        <v>táijiē</v>
      </c>
      <c r="E695" t="str">
        <f>IFERROR(__xludf.DUMMYFUNCTION("GOOGLETRANSLATE(B695,""zh"",""vi"")"),"Các bước")</f>
        <v>Các bước</v>
      </c>
      <c r="F695" t="str">
        <v>7. Địa điểm &amp; Nơi chốn</v>
      </c>
    </row>
    <row r="696">
      <c r="A696">
        <v>695</v>
      </c>
      <c r="B696" t="str">
        <v>台上</v>
      </c>
      <c r="D696" t="str">
        <v>tái shàng</v>
      </c>
      <c r="E696" t="str">
        <f>IFERROR(__xludf.DUMMYFUNCTION("GOOGLETRANSLATE(B696,""zh"",""vi"")"),"Trên sân khấu")</f>
        <v>Trên sân khấu</v>
      </c>
      <c r="F696" t="str">
        <v>7. Địa điểm &amp; Nơi chốn</v>
      </c>
    </row>
    <row r="697">
      <c r="A697">
        <v>696</v>
      </c>
      <c r="B697" t="str">
        <v>躺</v>
      </c>
      <c r="D697" t="str">
        <v>tǎng</v>
      </c>
      <c r="E697" t="str">
        <f>IFERROR(__xludf.DUMMYFUNCTION("GOOGLETRANSLATE(B697,""zh"",""vi"")"),"nói dối")</f>
        <v>nói dối</v>
      </c>
      <c r="F697" t="str">
        <v>5. Đời sống sinh hoạt</v>
      </c>
    </row>
    <row r="698">
      <c r="A698">
        <v>697</v>
      </c>
      <c r="B698" t="str">
        <v>套餐</v>
      </c>
      <c r="D698" t="str">
        <v>tào cān</v>
      </c>
      <c r="E698" t="str">
        <f>IFERROR(__xludf.DUMMYFUNCTION("GOOGLETRANSLATE(B698,""zh"",""vi"")"),"combo")</f>
        <v>combo</v>
      </c>
      <c r="F698" t="str">
        <v>5. Đời sống sinh hoạt</v>
      </c>
    </row>
    <row r="699">
      <c r="A699">
        <v>698</v>
      </c>
      <c r="B699" t="str">
        <v>特价</v>
      </c>
      <c r="D699" t="str">
        <v>tèjià</v>
      </c>
      <c r="E699" t="str">
        <f>IFERROR(__xludf.DUMMYFUNCTION("GOOGLETRANSLATE(B699,""zh"",""vi"")"),"Ưu đãi đặc biệt")</f>
        <v>Ưu đãi đặc biệt</v>
      </c>
      <c r="F699" t="str">
        <v>12. Công việc &amp; Nghề nghiệp</v>
      </c>
    </row>
    <row r="700">
      <c r="A700">
        <v>699</v>
      </c>
      <c r="B700" t="str">
        <v>特殊</v>
      </c>
      <c r="D700" t="str">
        <v>tèshū</v>
      </c>
      <c r="E700" t="str">
        <f>IFERROR(__xludf.DUMMYFUNCTION("GOOGLETRANSLATE(B700,""zh"",""vi"")"),"đặc biệt")</f>
        <v>đặc biệt</v>
      </c>
      <c r="F700" t="str">
        <v>13. Miêu tả &amp; Đánh giá</v>
      </c>
    </row>
    <row r="701">
      <c r="A701">
        <v>700</v>
      </c>
      <c r="B701" t="str">
        <v>特征</v>
      </c>
      <c r="D701" t="str">
        <v>tèzhēng</v>
      </c>
      <c r="E701" t="str">
        <f>IFERROR(__xludf.DUMMYFUNCTION("GOOGLETRANSLATE(B701,""zh"",""vi"")"),"tính năng")</f>
        <v>tính năng</v>
      </c>
      <c r="F701" t="str">
        <v>13. Miêu tả &amp; Đánh giá</v>
      </c>
    </row>
    <row r="702">
      <c r="A702">
        <v>701</v>
      </c>
      <c r="D702" t="e">
        <f>pinyin(B702)</f>
        <v>#NAME?</v>
      </c>
      <c r="E702" t="str">
        <f>IFERROR(__xludf.DUMMYFUNCTION("GOOGLETRANSLATE(B702,""zh"",""vi"")"),"#VALUE!")</f>
        <v>#VALUE!</v>
      </c>
    </row>
    <row r="703">
      <c r="A703">
        <v>702</v>
      </c>
      <c r="D703" t="e">
        <f>pinyin(B703)</f>
        <v>#NAME?</v>
      </c>
      <c r="E703" t="str">
        <f>IFERROR(__xludf.DUMMYFUNCTION("GOOGLETRANSLATE(B703,""zh"",""vi"")"),"#VALUE!")</f>
        <v>#VALUE!</v>
      </c>
    </row>
    <row r="704">
      <c r="A704">
        <v>703</v>
      </c>
      <c r="D704" t="e">
        <f>pinyin(B704)</f>
        <v>#NAME?</v>
      </c>
      <c r="E704" t="str">
        <f>IFERROR(__xludf.DUMMYFUNCTION("GOOGLETRANSLATE(B704,""zh"",""vi"")"),"#VALUE!")</f>
        <v>#VALUE!</v>
      </c>
    </row>
    <row r="705">
      <c r="A705">
        <v>704</v>
      </c>
      <c r="D705" t="e">
        <f>pinyin(B705)</f>
        <v>#NAME?</v>
      </c>
      <c r="E705" t="str">
        <f>IFERROR(__xludf.DUMMYFUNCTION("GOOGLETRANSLATE(B705,""zh"",""vi"")"),"#VALUE!")</f>
        <v>#VALUE!</v>
      </c>
    </row>
    <row r="706">
      <c r="A706">
        <v>705</v>
      </c>
      <c r="D706" t="e">
        <f>pinyin(B706)</f>
        <v>#NAME?</v>
      </c>
      <c r="E706" t="str">
        <f>IFERROR(__xludf.DUMMYFUNCTION("GOOGLETRANSLATE(B706,""zh"",""vi"")"),"#VALUE!")</f>
        <v>#VALUE!</v>
      </c>
    </row>
    <row r="707">
      <c r="A707">
        <v>706</v>
      </c>
      <c r="D707" t="e">
        <f>pinyin(B707)</f>
        <v>#NAME?</v>
      </c>
      <c r="E707" t="str">
        <f>IFERROR(__xludf.DUMMYFUNCTION("GOOGLETRANSLATE(B707,""zh"",""vi"")"),"#VALUE!")</f>
        <v>#VALUE!</v>
      </c>
    </row>
    <row r="708">
      <c r="A708">
        <v>707</v>
      </c>
      <c r="D708" t="e">
        <f>pinyin(B708)</f>
        <v>#NAME?</v>
      </c>
      <c r="E708" t="str">
        <f>IFERROR(__xludf.DUMMYFUNCTION("GOOGLETRANSLATE(B708,""zh"",""vi"")"),"#VALUE!")</f>
        <v>#VALUE!</v>
      </c>
    </row>
    <row r="709">
      <c r="A709">
        <v>708</v>
      </c>
      <c r="D709" t="e">
        <f>pinyin(B709)</f>
        <v>#NAME?</v>
      </c>
      <c r="E709" t="str">
        <f>IFERROR(__xludf.DUMMYFUNCTION("GOOGLETRANSLATE(B709,""zh"",""vi"")"),"#VALUE!")</f>
        <v>#VALUE!</v>
      </c>
    </row>
    <row r="710">
      <c r="A710">
        <v>709</v>
      </c>
      <c r="D710" t="e">
        <f>pinyin(B710)</f>
        <v>#NAME?</v>
      </c>
      <c r="E710" t="str">
        <f>IFERROR(__xludf.DUMMYFUNCTION("GOOGLETRANSLATE(B710,""zh"",""vi"")"),"#VALUE!")</f>
        <v>#VALUE!</v>
      </c>
    </row>
    <row r="711">
      <c r="A711">
        <v>710</v>
      </c>
      <c r="D711" t="e">
        <f>pinyin(B711)</f>
        <v>#NAME?</v>
      </c>
      <c r="E711" t="str">
        <f>IFERROR(__xludf.DUMMYFUNCTION("GOOGLETRANSLATE(B711,""zh"",""vi"")"),"#VALUE!")</f>
        <v>#VALUE!</v>
      </c>
    </row>
    <row r="712">
      <c r="A712">
        <v>711</v>
      </c>
      <c r="D712" t="e">
        <f>pinyin(B712)</f>
        <v>#NAME?</v>
      </c>
      <c r="E712" t="str">
        <f>IFERROR(__xludf.DUMMYFUNCTION("GOOGLETRANSLATE(B712,""zh"",""vi"")"),"#VALUE!")</f>
        <v>#VALUE!</v>
      </c>
    </row>
    <row r="713">
      <c r="A713">
        <v>712</v>
      </c>
      <c r="D713" t="e">
        <f>pinyin(B713)</f>
        <v>#NAME?</v>
      </c>
      <c r="E713" t="str">
        <f>IFERROR(__xludf.DUMMYFUNCTION("GOOGLETRANSLATE(B713,""zh"",""vi"")"),"#VALUE!")</f>
        <v>#VALUE!</v>
      </c>
    </row>
    <row r="714">
      <c r="A714">
        <v>713</v>
      </c>
      <c r="D714" t="e">
        <f>pinyin(B714)</f>
        <v>#NAME?</v>
      </c>
      <c r="E714" t="str">
        <f>IFERROR(__xludf.DUMMYFUNCTION("GOOGLETRANSLATE(B714,""zh"",""vi"")"),"#VALUE!")</f>
        <v>#VALUE!</v>
      </c>
    </row>
    <row r="715">
      <c r="A715">
        <v>714</v>
      </c>
      <c r="D715" t="e">
        <f>pinyin(B715)</f>
        <v>#NAME?</v>
      </c>
      <c r="E715" t="str">
        <f>IFERROR(__xludf.DUMMYFUNCTION("GOOGLETRANSLATE(B715,""zh"",""vi"")"),"#VALUE!")</f>
        <v>#VALUE!</v>
      </c>
    </row>
    <row r="716">
      <c r="A716">
        <v>715</v>
      </c>
      <c r="D716" t="e">
        <f>pinyin(B716)</f>
        <v>#NAME?</v>
      </c>
      <c r="E716" t="str">
        <f>IFERROR(__xludf.DUMMYFUNCTION("GOOGLETRANSLATE(B716,""zh"",""vi"")"),"#VALUE!")</f>
        <v>#VALUE!</v>
      </c>
    </row>
    <row r="717">
      <c r="A717">
        <v>716</v>
      </c>
      <c r="D717" t="e">
        <f>pinyin(B717)</f>
        <v>#NAME?</v>
      </c>
      <c r="E717" t="str">
        <f>IFERROR(__xludf.DUMMYFUNCTION("GOOGLETRANSLATE(B717,""zh"",""vi"")"),"#VALUE!")</f>
        <v>#VALUE!</v>
      </c>
    </row>
    <row r="718">
      <c r="A718">
        <v>717</v>
      </c>
      <c r="D718" t="e">
        <f>pinyin(B718)</f>
        <v>#NAME?</v>
      </c>
      <c r="E718" t="str">
        <f>IFERROR(__xludf.DUMMYFUNCTION("GOOGLETRANSLATE(B718,""zh"",""vi"")"),"#VALUE!")</f>
        <v>#VALUE!</v>
      </c>
    </row>
    <row r="719">
      <c r="A719">
        <v>718</v>
      </c>
      <c r="D719" t="e">
        <f>pinyin(B719)</f>
        <v>#NAME?</v>
      </c>
      <c r="E719" t="str">
        <f>IFERROR(__xludf.DUMMYFUNCTION("GOOGLETRANSLATE(B719,""zh"",""vi"")"),"#VALUE!")</f>
        <v>#VALUE!</v>
      </c>
    </row>
    <row r="720">
      <c r="A720">
        <v>719</v>
      </c>
      <c r="D720" t="e">
        <f>pinyin(B720)</f>
        <v>#NAME?</v>
      </c>
      <c r="E720" t="str">
        <f>IFERROR(__xludf.DUMMYFUNCTION("GOOGLETRANSLATE(B720,""zh"",""vi"")"),"#VALUE!")</f>
        <v>#VALUE!</v>
      </c>
    </row>
    <row r="721">
      <c r="A721">
        <v>720</v>
      </c>
      <c r="D721" t="e">
        <f>pinyin(B721)</f>
        <v>#NAME?</v>
      </c>
      <c r="E721" t="str">
        <f>IFERROR(__xludf.DUMMYFUNCTION("GOOGLETRANSLATE(B721,""zh"",""vi"")"),"#VALUE!")</f>
        <v>#VALUE!</v>
      </c>
    </row>
    <row r="722">
      <c r="A722">
        <v>721</v>
      </c>
      <c r="D722" t="e">
        <f>pinyin(B722)</f>
        <v>#NAME?</v>
      </c>
      <c r="E722" t="str">
        <f>IFERROR(__xludf.DUMMYFUNCTION("GOOGLETRANSLATE(B722,""zh"",""vi"")"),"#VALUE!")</f>
        <v>#VALUE!</v>
      </c>
    </row>
    <row r="723">
      <c r="A723">
        <v>722</v>
      </c>
      <c r="D723" t="e">
        <f>pinyin(B723)</f>
        <v>#NAME?</v>
      </c>
      <c r="E723" t="str">
        <f>IFERROR(__xludf.DUMMYFUNCTION("GOOGLETRANSLATE(B723,""zh"",""vi"")"),"#VALUE!")</f>
        <v>#VALUE!</v>
      </c>
    </row>
    <row r="724">
      <c r="A724">
        <v>723</v>
      </c>
      <c r="D724" t="e">
        <f>pinyin(B724)</f>
        <v>#NAME?</v>
      </c>
      <c r="E724" t="str">
        <f>IFERROR(__xludf.DUMMYFUNCTION("GOOGLETRANSLATE(B724,""zh"",""vi"")"),"#VALUE!")</f>
        <v>#VALUE!</v>
      </c>
    </row>
    <row r="725">
      <c r="A725">
        <v>724</v>
      </c>
      <c r="D725" t="e">
        <f>pinyin(B725)</f>
        <v>#NAME?</v>
      </c>
      <c r="E725" t="str">
        <f>IFERROR(__xludf.DUMMYFUNCTION("GOOGLETRANSLATE(B725,""zh"",""vi"")"),"#VALUE!")</f>
        <v>#VALUE!</v>
      </c>
    </row>
    <row r="726">
      <c r="A726">
        <v>725</v>
      </c>
      <c r="D726" t="e">
        <f>pinyin(B726)</f>
        <v>#NAME?</v>
      </c>
      <c r="E726" t="str">
        <f>IFERROR(__xludf.DUMMYFUNCTION("GOOGLETRANSLATE(B726,""zh"",""vi"")"),"#VALUE!")</f>
        <v>#VALUE!</v>
      </c>
    </row>
    <row r="727">
      <c r="A727">
        <v>726</v>
      </c>
      <c r="D727" t="e">
        <f>pinyin(B727)</f>
        <v>#NAME?</v>
      </c>
      <c r="E727" t="str">
        <f>IFERROR(__xludf.DUMMYFUNCTION("GOOGLETRANSLATE(B727,""zh"",""vi"")"),"#VALUE!")</f>
        <v>#VALUE!</v>
      </c>
    </row>
    <row r="728">
      <c r="A728">
        <v>727</v>
      </c>
      <c r="D728" t="e">
        <f>pinyin(B728)</f>
        <v>#NAME?</v>
      </c>
      <c r="E728" t="str">
        <f>IFERROR(__xludf.DUMMYFUNCTION("GOOGLETRANSLATE(B728,""zh"",""vi"")"),"#VALUE!")</f>
        <v>#VALUE!</v>
      </c>
    </row>
    <row r="729">
      <c r="A729">
        <v>728</v>
      </c>
      <c r="D729" t="e">
        <f>pinyin(B729)</f>
        <v>#NAME?</v>
      </c>
      <c r="E729" t="str">
        <f>IFERROR(__xludf.DUMMYFUNCTION("GOOGLETRANSLATE(B729,""zh"",""vi"")"),"#VALUE!")</f>
        <v>#VALUE!</v>
      </c>
    </row>
    <row r="730">
      <c r="A730">
        <v>729</v>
      </c>
      <c r="D730" t="e">
        <f>pinyin(B730)</f>
        <v>#NAME?</v>
      </c>
      <c r="E730" t="str">
        <f>IFERROR(__xludf.DUMMYFUNCTION("GOOGLETRANSLATE(B730,""zh"",""vi"")"),"#VALUE!")</f>
        <v>#VALUE!</v>
      </c>
    </row>
    <row r="731">
      <c r="A731">
        <v>730</v>
      </c>
      <c r="D731" t="e">
        <f>pinyin(B731)</f>
        <v>#NAME?</v>
      </c>
      <c r="E731" t="str">
        <f>IFERROR(__xludf.DUMMYFUNCTION("GOOGLETRANSLATE(B731,""zh"",""vi"")"),"#VALUE!")</f>
        <v>#VALUE!</v>
      </c>
    </row>
    <row r="732">
      <c r="A732">
        <v>731</v>
      </c>
      <c r="D732" t="e">
        <f>pinyin(B732)</f>
        <v>#NAME?</v>
      </c>
      <c r="E732" t="str">
        <f>IFERROR(__xludf.DUMMYFUNCTION("GOOGLETRANSLATE(B732,""zh"",""vi"")"),"#VALUE!")</f>
        <v>#VALUE!</v>
      </c>
    </row>
    <row r="733">
      <c r="A733">
        <v>732</v>
      </c>
      <c r="D733" t="e">
        <f>pinyin(B733)</f>
        <v>#NAME?</v>
      </c>
      <c r="E733" t="str">
        <f>IFERROR(__xludf.DUMMYFUNCTION("GOOGLETRANSLATE(B733,""zh"",""vi"")"),"#VALUE!")</f>
        <v>#VALUE!</v>
      </c>
    </row>
    <row r="734">
      <c r="A734">
        <v>733</v>
      </c>
      <c r="D734" t="e">
        <f>pinyin(B734)</f>
        <v>#NAME?</v>
      </c>
      <c r="E734" t="str">
        <f>IFERROR(__xludf.DUMMYFUNCTION("GOOGLETRANSLATE(B734,""zh"",""vi"")"),"#VALUE!")</f>
        <v>#VALUE!</v>
      </c>
    </row>
    <row r="735">
      <c r="A735">
        <v>734</v>
      </c>
      <c r="D735" t="e">
        <f>pinyin(B735)</f>
        <v>#NAME?</v>
      </c>
      <c r="E735" t="str">
        <f>IFERROR(__xludf.DUMMYFUNCTION("GOOGLETRANSLATE(B735,""zh"",""vi"")"),"#VALUE!")</f>
        <v>#VALUE!</v>
      </c>
    </row>
    <row r="736">
      <c r="A736">
        <v>735</v>
      </c>
      <c r="D736" t="e">
        <f>pinyin(B736)</f>
        <v>#NAME?</v>
      </c>
      <c r="E736" t="str">
        <f>IFERROR(__xludf.DUMMYFUNCTION("GOOGLETRANSLATE(B736,""zh"",""vi"")"),"#VALUE!")</f>
        <v>#VALUE!</v>
      </c>
    </row>
    <row r="737">
      <c r="A737">
        <v>736</v>
      </c>
      <c r="D737" t="e">
        <f>pinyin(B737)</f>
        <v>#NAME?</v>
      </c>
      <c r="E737" t="str">
        <f>IFERROR(__xludf.DUMMYFUNCTION("GOOGLETRANSLATE(B737,""zh"",""vi"")"),"#VALUE!")</f>
        <v>#VALUE!</v>
      </c>
    </row>
    <row r="738">
      <c r="A738">
        <v>737</v>
      </c>
      <c r="D738" t="e">
        <f>pinyin(B738)</f>
        <v>#NAME?</v>
      </c>
      <c r="E738" t="str">
        <f>IFERROR(__xludf.DUMMYFUNCTION("GOOGLETRANSLATE(B738,""zh"",""vi"")"),"#VALUE!")</f>
        <v>#VALUE!</v>
      </c>
    </row>
    <row r="739">
      <c r="A739">
        <v>738</v>
      </c>
      <c r="D739" t="e">
        <f>pinyin(B739)</f>
        <v>#NAME?</v>
      </c>
      <c r="E739" t="str">
        <f>IFERROR(__xludf.DUMMYFUNCTION("GOOGLETRANSLATE(B739,""zh"",""vi"")"),"#VALUE!")</f>
        <v>#VALUE!</v>
      </c>
    </row>
    <row r="740">
      <c r="A740">
        <v>739</v>
      </c>
      <c r="D740" t="e">
        <f>pinyin(B740)</f>
        <v>#NAME?</v>
      </c>
      <c r="E740" t="str">
        <f>IFERROR(__xludf.DUMMYFUNCTION("GOOGLETRANSLATE(B740,""zh"",""vi"")"),"#VALUE!")</f>
        <v>#VALUE!</v>
      </c>
    </row>
    <row r="741">
      <c r="A741">
        <v>740</v>
      </c>
      <c r="D741" t="e">
        <f>pinyin(B741)</f>
        <v>#NAME?</v>
      </c>
      <c r="E741" t="str">
        <f>IFERROR(__xludf.DUMMYFUNCTION("GOOGLETRANSLATE(B741,""zh"",""vi"")"),"#VALUE!")</f>
        <v>#VALUE!</v>
      </c>
    </row>
    <row r="742">
      <c r="A742">
        <v>741</v>
      </c>
      <c r="D742" t="e">
        <f>pinyin(B742)</f>
        <v>#NAME?</v>
      </c>
      <c r="E742" t="str">
        <f>IFERROR(__xludf.DUMMYFUNCTION("GOOGLETRANSLATE(B742,""zh"",""vi"")"),"#VALUE!")</f>
        <v>#VALUE!</v>
      </c>
    </row>
    <row r="743">
      <c r="A743">
        <v>742</v>
      </c>
      <c r="D743" t="e">
        <f>pinyin(B743)</f>
        <v>#NAME?</v>
      </c>
      <c r="E743" t="str">
        <f>IFERROR(__xludf.DUMMYFUNCTION("GOOGLETRANSLATE(B743,""zh"",""vi"")"),"#VALUE!")</f>
        <v>#VALUE!</v>
      </c>
    </row>
    <row r="744">
      <c r="A744">
        <v>743</v>
      </c>
      <c r="D744" t="e">
        <f>pinyin(B744)</f>
        <v>#NAME?</v>
      </c>
      <c r="E744" t="str">
        <f>IFERROR(__xludf.DUMMYFUNCTION("GOOGLETRANSLATE(B744,""zh"",""vi"")"),"#VALUE!")</f>
        <v>#VALUE!</v>
      </c>
    </row>
    <row r="745">
      <c r="A745">
        <v>744</v>
      </c>
      <c r="D745" t="e">
        <f>pinyin(B745)</f>
        <v>#NAME?</v>
      </c>
      <c r="E745" t="str">
        <f>IFERROR(__xludf.DUMMYFUNCTION("GOOGLETRANSLATE(B745,""zh"",""vi"")"),"#VALUE!")</f>
        <v>#VALUE!</v>
      </c>
    </row>
    <row r="746">
      <c r="A746">
        <v>745</v>
      </c>
      <c r="D746" t="e">
        <f>pinyin(B746)</f>
        <v>#NAME?</v>
      </c>
      <c r="E746" t="str">
        <f>IFERROR(__xludf.DUMMYFUNCTION("GOOGLETRANSLATE(B746,""zh"",""vi"")"),"#VALUE!")</f>
        <v>#VALUE!</v>
      </c>
    </row>
    <row r="747">
      <c r="A747">
        <v>746</v>
      </c>
      <c r="D747" t="e">
        <f>pinyin(B747)</f>
        <v>#NAME?</v>
      </c>
      <c r="E747" t="str">
        <f>IFERROR(__xludf.DUMMYFUNCTION("GOOGLETRANSLATE(B747,""zh"",""vi"")"),"#VALUE!")</f>
        <v>#VALUE!</v>
      </c>
    </row>
    <row r="748">
      <c r="A748">
        <v>747</v>
      </c>
      <c r="D748" t="e">
        <f>pinyin(B748)</f>
        <v>#NAME?</v>
      </c>
      <c r="E748" t="str">
        <f>IFERROR(__xludf.DUMMYFUNCTION("GOOGLETRANSLATE(B748,""zh"",""vi"")"),"#VALUE!")</f>
        <v>#VALUE!</v>
      </c>
    </row>
    <row r="749">
      <c r="A749">
        <v>748</v>
      </c>
      <c r="D749" t="e">
        <f>pinyin(B749)</f>
        <v>#NAME?</v>
      </c>
      <c r="E749" t="str">
        <f>IFERROR(__xludf.DUMMYFUNCTION("GOOGLETRANSLATE(B749,""zh"",""vi"")"),"#VALUE!")</f>
        <v>#VALUE!</v>
      </c>
    </row>
    <row r="750">
      <c r="A750">
        <v>749</v>
      </c>
      <c r="D750" t="e">
        <f>pinyin(B750)</f>
        <v>#NAME?</v>
      </c>
      <c r="E750" t="str">
        <f>IFERROR(__xludf.DUMMYFUNCTION("GOOGLETRANSLATE(B750,""zh"",""vi"")"),"#VALUE!")</f>
        <v>#VALUE!</v>
      </c>
    </row>
    <row r="751">
      <c r="A751">
        <v>750</v>
      </c>
      <c r="D751" t="e">
        <f>pinyin(B751)</f>
        <v>#NAME?</v>
      </c>
      <c r="E751" t="str">
        <f>IFERROR(__xludf.DUMMYFUNCTION("GOOGLETRANSLATE(B751,""zh"",""vi"")"),"#VALUE!")</f>
        <v>#VALUE!</v>
      </c>
    </row>
    <row r="752">
      <c r="A752">
        <v>751</v>
      </c>
      <c r="D752" t="e">
        <f>pinyin(B752)</f>
        <v>#NAME?</v>
      </c>
      <c r="E752" t="str">
        <f>IFERROR(__xludf.DUMMYFUNCTION("GOOGLETRANSLATE(B752,""zh"",""vi"")"),"#VALUE!")</f>
        <v>#VALUE!</v>
      </c>
    </row>
    <row r="753">
      <c r="A753">
        <v>752</v>
      </c>
      <c r="D753" t="e">
        <f>pinyin(B753)</f>
        <v>#NAME?</v>
      </c>
      <c r="E753" t="str">
        <f>IFERROR(__xludf.DUMMYFUNCTION("GOOGLETRANSLATE(B753,""zh"",""vi"")"),"#VALUE!")</f>
        <v>#VALUE!</v>
      </c>
    </row>
    <row r="754">
      <c r="A754">
        <v>753</v>
      </c>
      <c r="D754" t="e">
        <f>pinyin(B754)</f>
        <v>#NAME?</v>
      </c>
      <c r="E754" t="str">
        <f>IFERROR(__xludf.DUMMYFUNCTION("GOOGLETRANSLATE(B754,""zh"",""vi"")"),"#VALUE!")</f>
        <v>#VALUE!</v>
      </c>
    </row>
    <row r="755">
      <c r="A755">
        <v>754</v>
      </c>
      <c r="D755" t="e">
        <f>pinyin(B755)</f>
        <v>#NAME?</v>
      </c>
      <c r="E755" t="str">
        <f>IFERROR(__xludf.DUMMYFUNCTION("GOOGLETRANSLATE(B755,""zh"",""vi"")"),"#VALUE!")</f>
        <v>#VALUE!</v>
      </c>
    </row>
    <row r="756">
      <c r="A756">
        <v>755</v>
      </c>
      <c r="D756" t="e">
        <f>pinyin(B756)</f>
        <v>#NAME?</v>
      </c>
      <c r="E756" t="str">
        <f>IFERROR(__xludf.DUMMYFUNCTION("GOOGLETRANSLATE(B756,""zh"",""vi"")"),"#VALUE!")</f>
        <v>#VALUE!</v>
      </c>
    </row>
    <row r="757">
      <c r="A757">
        <v>756</v>
      </c>
      <c r="D757" t="e">
        <f>pinyin(B757)</f>
        <v>#NAME?</v>
      </c>
      <c r="E757" t="str">
        <f>IFERROR(__xludf.DUMMYFUNCTION("GOOGLETRANSLATE(B757,""zh"",""vi"")"),"#VALUE!")</f>
        <v>#VALUE!</v>
      </c>
    </row>
    <row r="758">
      <c r="A758">
        <v>757</v>
      </c>
      <c r="D758" t="e">
        <f>pinyin(B758)</f>
        <v>#NAME?</v>
      </c>
      <c r="E758" t="str">
        <f>IFERROR(__xludf.DUMMYFUNCTION("GOOGLETRANSLATE(B758,""zh"",""vi"")"),"#VALUE!")</f>
        <v>#VALUE!</v>
      </c>
    </row>
    <row r="759">
      <c r="A759">
        <v>758</v>
      </c>
      <c r="D759" t="e">
        <f>pinyin(B759)</f>
        <v>#NAME?</v>
      </c>
      <c r="E759" t="str">
        <f>IFERROR(__xludf.DUMMYFUNCTION("GOOGLETRANSLATE(B759,""zh"",""vi"")"),"#VALUE!")</f>
        <v>#VALUE!</v>
      </c>
    </row>
    <row r="760">
      <c r="A760">
        <v>759</v>
      </c>
      <c r="D760" t="e">
        <f>pinyin(B760)</f>
        <v>#NAME?</v>
      </c>
      <c r="E760" t="str">
        <f>IFERROR(__xludf.DUMMYFUNCTION("GOOGLETRANSLATE(B760,""zh"",""vi"")"),"#VALUE!")</f>
        <v>#VALUE!</v>
      </c>
    </row>
    <row r="761">
      <c r="A761">
        <v>760</v>
      </c>
      <c r="D761" t="e">
        <f>pinyin(B761)</f>
        <v>#NAME?</v>
      </c>
      <c r="E761" t="str">
        <f>IFERROR(__xludf.DUMMYFUNCTION("GOOGLETRANSLATE(B761,""zh"",""vi"")"),"#VALUE!")</f>
        <v>#VALUE!</v>
      </c>
    </row>
    <row r="762">
      <c r="A762">
        <v>761</v>
      </c>
      <c r="D762" t="e">
        <f>pinyin(B762)</f>
        <v>#NAME?</v>
      </c>
      <c r="E762" t="str">
        <f>IFERROR(__xludf.DUMMYFUNCTION("GOOGLETRANSLATE(B762,""zh"",""vi"")"),"#VALUE!")</f>
        <v>#VALUE!</v>
      </c>
    </row>
    <row r="763">
      <c r="A763">
        <v>762</v>
      </c>
      <c r="D763" t="e">
        <f>pinyin(B763)</f>
        <v>#NAME?</v>
      </c>
      <c r="E763" t="str">
        <f>IFERROR(__xludf.DUMMYFUNCTION("GOOGLETRANSLATE(B763,""zh"",""vi"")"),"#VALUE!")</f>
        <v>#VALUE!</v>
      </c>
    </row>
    <row r="764">
      <c r="A764">
        <v>763</v>
      </c>
      <c r="D764" t="e">
        <f>pinyin(B764)</f>
        <v>#NAME?</v>
      </c>
      <c r="E764" t="str">
        <f>IFERROR(__xludf.DUMMYFUNCTION("GOOGLETRANSLATE(B764,""zh"",""vi"")"),"#VALUE!")</f>
        <v>#VALUE!</v>
      </c>
    </row>
    <row r="765">
      <c r="A765">
        <v>764</v>
      </c>
      <c r="D765" t="e">
        <f>pinyin(B765)</f>
        <v>#NAME?</v>
      </c>
      <c r="E765" t="str">
        <f>IFERROR(__xludf.DUMMYFUNCTION("GOOGLETRANSLATE(B765,""zh"",""vi"")"),"#VALUE!")</f>
        <v>#VALUE!</v>
      </c>
    </row>
    <row r="766">
      <c r="A766">
        <v>765</v>
      </c>
      <c r="D766" t="e">
        <f>pinyin(B766)</f>
        <v>#NAME?</v>
      </c>
      <c r="E766" t="str">
        <f>IFERROR(__xludf.DUMMYFUNCTION("GOOGLETRANSLATE(B766,""zh"",""vi"")"),"#VALUE!")</f>
        <v>#VALUE!</v>
      </c>
    </row>
    <row r="767">
      <c r="A767">
        <v>766</v>
      </c>
      <c r="D767" t="e">
        <f>pinyin(B767)</f>
        <v>#NAME?</v>
      </c>
      <c r="E767" t="str">
        <f>IFERROR(__xludf.DUMMYFUNCTION("GOOGLETRANSLATE(B767,""zh"",""vi"")"),"#VALUE!")</f>
        <v>#VALUE!</v>
      </c>
    </row>
    <row r="768">
      <c r="A768">
        <v>767</v>
      </c>
      <c r="D768" t="e">
        <f>pinyin(B768)</f>
        <v>#NAME?</v>
      </c>
      <c r="E768" t="str">
        <f>IFERROR(__xludf.DUMMYFUNCTION("GOOGLETRANSLATE(B768,""zh"",""vi"")"),"#VALUE!")</f>
        <v>#VALUE!</v>
      </c>
    </row>
    <row r="769">
      <c r="A769">
        <v>768</v>
      </c>
      <c r="D769" t="e">
        <f>pinyin(B769)</f>
        <v>#NAME?</v>
      </c>
      <c r="E769" t="str">
        <f>IFERROR(__xludf.DUMMYFUNCTION("GOOGLETRANSLATE(B769,""zh"",""vi"")"),"#VALUE!")</f>
        <v>#VALUE!</v>
      </c>
    </row>
    <row r="770">
      <c r="A770">
        <v>769</v>
      </c>
      <c r="D770" t="e">
        <f>pinyin(B770)</f>
        <v>#NAME?</v>
      </c>
      <c r="E770" t="str">
        <f>IFERROR(__xludf.DUMMYFUNCTION("GOOGLETRANSLATE(B770,""zh"",""vi"")"),"#VALUE!")</f>
        <v>#VALUE!</v>
      </c>
    </row>
    <row r="771">
      <c r="A771">
        <v>770</v>
      </c>
      <c r="D771" t="e">
        <f>pinyin(B771)</f>
        <v>#NAME?</v>
      </c>
      <c r="E771" t="str">
        <f>IFERROR(__xludf.DUMMYFUNCTION("GOOGLETRANSLATE(B771,""zh"",""vi"")"),"#VALUE!")</f>
        <v>#VALUE!</v>
      </c>
    </row>
    <row r="772">
      <c r="A772">
        <v>771</v>
      </c>
      <c r="D772" t="e">
        <f>pinyin(B772)</f>
        <v>#NAME?</v>
      </c>
      <c r="E772" t="str">
        <f>IFERROR(__xludf.DUMMYFUNCTION("GOOGLETRANSLATE(B772,""zh"",""vi"")"),"#VALUE!")</f>
        <v>#VALUE!</v>
      </c>
    </row>
    <row r="773">
      <c r="A773">
        <v>772</v>
      </c>
      <c r="D773" t="e">
        <f>pinyin(B773)</f>
        <v>#NAME?</v>
      </c>
      <c r="E773" t="str">
        <f>IFERROR(__xludf.DUMMYFUNCTION("GOOGLETRANSLATE(B773,""zh"",""vi"")"),"#VALUE!")</f>
        <v>#VALUE!</v>
      </c>
    </row>
    <row r="774">
      <c r="A774">
        <v>773</v>
      </c>
      <c r="D774" t="e">
        <f>pinyin(B774)</f>
        <v>#NAME?</v>
      </c>
      <c r="E774" t="str">
        <f>IFERROR(__xludf.DUMMYFUNCTION("GOOGLETRANSLATE(B774,""zh"",""vi"")"),"#VALUE!")</f>
        <v>#VALUE!</v>
      </c>
    </row>
    <row r="775">
      <c r="A775">
        <v>774</v>
      </c>
      <c r="D775" t="e">
        <f>pinyin(B775)</f>
        <v>#NAME?</v>
      </c>
      <c r="E775" t="str">
        <f>IFERROR(__xludf.DUMMYFUNCTION("GOOGLETRANSLATE(B775,""zh"",""vi"")"),"#VALUE!")</f>
        <v>#VALUE!</v>
      </c>
    </row>
    <row r="776">
      <c r="A776">
        <v>775</v>
      </c>
      <c r="D776" t="e">
        <f>pinyin(B776)</f>
        <v>#NAME?</v>
      </c>
      <c r="E776" t="str">
        <f>IFERROR(__xludf.DUMMYFUNCTION("GOOGLETRANSLATE(B776,""zh"",""vi"")"),"#VALUE!")</f>
        <v>#VALUE!</v>
      </c>
    </row>
    <row r="777">
      <c r="A777">
        <v>776</v>
      </c>
      <c r="D777" t="e">
        <f>pinyin(B777)</f>
        <v>#NAME?</v>
      </c>
      <c r="E777" t="str">
        <f>IFERROR(__xludf.DUMMYFUNCTION("GOOGLETRANSLATE(B777,""zh"",""vi"")"),"#VALUE!")</f>
        <v>#VALUE!</v>
      </c>
    </row>
    <row r="778">
      <c r="A778">
        <v>777</v>
      </c>
      <c r="D778" t="e">
        <f>pinyin(B778)</f>
        <v>#NAME?</v>
      </c>
      <c r="E778" t="str">
        <f>IFERROR(__xludf.DUMMYFUNCTION("GOOGLETRANSLATE(B778,""zh"",""vi"")"),"#VALUE!")</f>
        <v>#VALUE!</v>
      </c>
    </row>
    <row r="779">
      <c r="A779">
        <v>778</v>
      </c>
      <c r="D779" t="e">
        <f>pinyin(B779)</f>
        <v>#NAME?</v>
      </c>
      <c r="E779" t="str">
        <f>IFERROR(__xludf.DUMMYFUNCTION("GOOGLETRANSLATE(B779,""zh"",""vi"")"),"#VALUE!")</f>
        <v>#VALUE!</v>
      </c>
    </row>
    <row r="780">
      <c r="A780">
        <v>779</v>
      </c>
      <c r="D780" t="e">
        <f>pinyin(B780)</f>
        <v>#NAME?</v>
      </c>
      <c r="E780" t="str">
        <f>IFERROR(__xludf.DUMMYFUNCTION("GOOGLETRANSLATE(B780,""zh"",""vi"")"),"#VALUE!")</f>
        <v>#VALUE!</v>
      </c>
    </row>
    <row r="781">
      <c r="A781">
        <v>780</v>
      </c>
      <c r="D781" t="e">
        <f>pinyin(B781)</f>
        <v>#NAME?</v>
      </c>
      <c r="E781" t="str">
        <f>IFERROR(__xludf.DUMMYFUNCTION("GOOGLETRANSLATE(B781,""zh"",""vi"")"),"#VALUE!")</f>
        <v>#VALUE!</v>
      </c>
    </row>
    <row r="782">
      <c r="A782">
        <v>781</v>
      </c>
      <c r="D782" t="e">
        <f>pinyin(B782)</f>
        <v>#NAME?</v>
      </c>
      <c r="E782" t="str">
        <f>IFERROR(__xludf.DUMMYFUNCTION("GOOGLETRANSLATE(B782,""zh"",""vi"")"),"#VALUE!")</f>
        <v>#VALUE!</v>
      </c>
    </row>
    <row r="783">
      <c r="A783">
        <v>782</v>
      </c>
      <c r="D783" t="e">
        <f>pinyin(B783)</f>
        <v>#NAME?</v>
      </c>
      <c r="E783" t="str">
        <f>IFERROR(__xludf.DUMMYFUNCTION("GOOGLETRANSLATE(B783,""zh"",""vi"")"),"#VALUE!")</f>
        <v>#VALUE!</v>
      </c>
    </row>
    <row r="784">
      <c r="A784">
        <v>783</v>
      </c>
      <c r="D784" t="e">
        <f>pinyin(B784)</f>
        <v>#NAME?</v>
      </c>
      <c r="E784" t="str">
        <f>IFERROR(__xludf.DUMMYFUNCTION("GOOGLETRANSLATE(B784,""zh"",""vi"")"),"#VALUE!")</f>
        <v>#VALUE!</v>
      </c>
    </row>
    <row r="785">
      <c r="A785">
        <v>784</v>
      </c>
      <c r="D785" t="e">
        <f>pinyin(B785)</f>
        <v>#NAME?</v>
      </c>
      <c r="E785" t="str">
        <f>IFERROR(__xludf.DUMMYFUNCTION("GOOGLETRANSLATE(B785,""zh"",""vi"")"),"#VALUE!")</f>
        <v>#VALUE!</v>
      </c>
    </row>
    <row r="786">
      <c r="A786">
        <v>785</v>
      </c>
      <c r="D786" t="e">
        <f>pinyin(B786)</f>
        <v>#NAME?</v>
      </c>
      <c r="E786" t="str">
        <f>IFERROR(__xludf.DUMMYFUNCTION("GOOGLETRANSLATE(B786,""zh"",""vi"")"),"#VALUE!")</f>
        <v>#VALUE!</v>
      </c>
    </row>
    <row r="787">
      <c r="A787">
        <v>786</v>
      </c>
      <c r="D787" t="e">
        <f>pinyin(B787)</f>
        <v>#NAME?</v>
      </c>
      <c r="E787" t="str">
        <f>IFERROR(__xludf.DUMMYFUNCTION("GOOGLETRANSLATE(B787,""zh"",""vi"")"),"#VALUE!")</f>
        <v>#VALUE!</v>
      </c>
    </row>
    <row r="788">
      <c r="A788">
        <v>787</v>
      </c>
      <c r="D788" t="e">
        <f>pinyin(B788)</f>
        <v>#NAME?</v>
      </c>
      <c r="E788" t="str">
        <f>IFERROR(__xludf.DUMMYFUNCTION("GOOGLETRANSLATE(B788,""zh"",""vi"")"),"#VALUE!")</f>
        <v>#VALUE!</v>
      </c>
    </row>
    <row r="789">
      <c r="A789">
        <v>788</v>
      </c>
      <c r="D789" t="e">
        <f>pinyin(B789)</f>
        <v>#NAME?</v>
      </c>
      <c r="E789" t="str">
        <f>IFERROR(__xludf.DUMMYFUNCTION("GOOGLETRANSLATE(B789,""zh"",""vi"")"),"#VALUE!")</f>
        <v>#VALUE!</v>
      </c>
    </row>
    <row r="790">
      <c r="A790">
        <v>789</v>
      </c>
      <c r="D790" t="e">
        <f>pinyin(B790)</f>
        <v>#NAME?</v>
      </c>
      <c r="E790" t="str">
        <f>IFERROR(__xludf.DUMMYFUNCTION("GOOGLETRANSLATE(B790,""zh"",""vi"")"),"#VALUE!")</f>
        <v>#VALUE!</v>
      </c>
    </row>
    <row r="791">
      <c r="A791">
        <v>790</v>
      </c>
      <c r="D791" t="e">
        <f>pinyin(B791)</f>
        <v>#NAME?</v>
      </c>
      <c r="E791" t="str">
        <f>IFERROR(__xludf.DUMMYFUNCTION("GOOGLETRANSLATE(B791,""zh"",""vi"")"),"#VALUE!")</f>
        <v>#VALUE!</v>
      </c>
    </row>
    <row r="792">
      <c r="A792">
        <v>791</v>
      </c>
      <c r="D792" t="e">
        <f>pinyin(B792)</f>
        <v>#NAME?</v>
      </c>
      <c r="E792" t="str">
        <f>IFERROR(__xludf.DUMMYFUNCTION("GOOGLETRANSLATE(B792,""zh"",""vi"")"),"#VALUE!")</f>
        <v>#VALUE!</v>
      </c>
    </row>
    <row r="793">
      <c r="A793">
        <v>792</v>
      </c>
      <c r="D793" t="e">
        <f>pinyin(B793)</f>
        <v>#NAME?</v>
      </c>
      <c r="E793" t="str">
        <f>IFERROR(__xludf.DUMMYFUNCTION("GOOGLETRANSLATE(B793,""zh"",""vi"")"),"#VALUE!")</f>
        <v>#VALUE!</v>
      </c>
    </row>
    <row r="794">
      <c r="A794">
        <v>793</v>
      </c>
      <c r="D794" t="e">
        <f>pinyin(B794)</f>
        <v>#NAME?</v>
      </c>
      <c r="E794" t="str">
        <f>IFERROR(__xludf.DUMMYFUNCTION("GOOGLETRANSLATE(B794,""zh"",""vi"")"),"#VALUE!")</f>
        <v>#VALUE!</v>
      </c>
    </row>
    <row r="795">
      <c r="A795">
        <v>794</v>
      </c>
      <c r="D795" t="e">
        <f>pinyin(B795)</f>
        <v>#NAME?</v>
      </c>
      <c r="E795" t="str">
        <f>IFERROR(__xludf.DUMMYFUNCTION("GOOGLETRANSLATE(B795,""zh"",""vi"")"),"#VALUE!")</f>
        <v>#VALUE!</v>
      </c>
    </row>
    <row r="796">
      <c r="A796">
        <v>795</v>
      </c>
      <c r="D796" t="e">
        <f>pinyin(B796)</f>
        <v>#NAME?</v>
      </c>
      <c r="E796" t="str">
        <f>IFERROR(__xludf.DUMMYFUNCTION("GOOGLETRANSLATE(B796,""zh"",""vi"")"),"#VALUE!")</f>
        <v>#VALUE!</v>
      </c>
    </row>
    <row r="797">
      <c r="A797">
        <v>796</v>
      </c>
      <c r="D797" t="e">
        <f>pinyin(B797)</f>
        <v>#NAME?</v>
      </c>
      <c r="E797" t="str">
        <f>IFERROR(__xludf.DUMMYFUNCTION("GOOGLETRANSLATE(B797,""zh"",""vi"")"),"#VALUE!")</f>
        <v>#VALUE!</v>
      </c>
    </row>
    <row r="798">
      <c r="A798">
        <v>797</v>
      </c>
      <c r="D798" t="e">
        <f>pinyin(B798)</f>
        <v>#NAME?</v>
      </c>
      <c r="E798" t="str">
        <f>IFERROR(__xludf.DUMMYFUNCTION("GOOGLETRANSLATE(B798,""zh"",""vi"")"),"#VALUE!")</f>
        <v>#VALUE!</v>
      </c>
    </row>
    <row r="799">
      <c r="A799">
        <v>798</v>
      </c>
      <c r="D799" t="e">
        <f>pinyin(B799)</f>
        <v>#NAME?</v>
      </c>
      <c r="E799" t="str">
        <f>IFERROR(__xludf.DUMMYFUNCTION("GOOGLETRANSLATE(B799,""zh"",""vi"")"),"#VALUE!")</f>
        <v>#VALUE!</v>
      </c>
    </row>
    <row r="800">
      <c r="A800">
        <v>799</v>
      </c>
      <c r="D800" t="e">
        <f>pinyin(B800)</f>
        <v>#NAME?</v>
      </c>
      <c r="E800" t="str">
        <f>IFERROR(__xludf.DUMMYFUNCTION("GOOGLETRANSLATE(B800,""zh"",""vi"")"),"#VALUE!")</f>
        <v>#VALUE!</v>
      </c>
    </row>
    <row r="801">
      <c r="A801">
        <v>800</v>
      </c>
      <c r="D801" t="e">
        <f>pinyin(B801)</f>
        <v>#NAME?</v>
      </c>
      <c r="E801" t="str">
        <f>IFERROR(__xludf.DUMMYFUNCTION("GOOGLETRANSLATE(B801,""zh"",""vi"")"),"#VALUE!")</f>
        <v>#VALUE!</v>
      </c>
    </row>
    <row r="802">
      <c r="A802">
        <v>801</v>
      </c>
      <c r="D802" t="e">
        <f>pinyin(B802)</f>
        <v>#NAME?</v>
      </c>
      <c r="E802" t="str">
        <f>IFERROR(__xludf.DUMMYFUNCTION("GOOGLETRANSLATE(B802,""zh"",""vi"")"),"#VALUE!")</f>
        <v>#VALUE!</v>
      </c>
    </row>
    <row r="803">
      <c r="A803">
        <v>802</v>
      </c>
      <c r="D803" t="e">
        <f>pinyin(B803)</f>
        <v>#NAME?</v>
      </c>
      <c r="E803" t="str">
        <f>IFERROR(__xludf.DUMMYFUNCTION("GOOGLETRANSLATE(B803,""zh"",""vi"")"),"#VALUE!")</f>
        <v>#VALUE!</v>
      </c>
    </row>
    <row r="804">
      <c r="A804">
        <v>803</v>
      </c>
      <c r="D804" t="e">
        <f>pinyin(B804)</f>
        <v>#NAME?</v>
      </c>
      <c r="E804" t="str">
        <f>IFERROR(__xludf.DUMMYFUNCTION("GOOGLETRANSLATE(B804,""zh"",""vi"")"),"#VALUE!")</f>
        <v>#VALUE!</v>
      </c>
    </row>
    <row r="805">
      <c r="A805">
        <v>804</v>
      </c>
      <c r="D805" t="e">
        <f>pinyin(B805)</f>
        <v>#NAME?</v>
      </c>
      <c r="E805" t="str">
        <f>IFERROR(__xludf.DUMMYFUNCTION("GOOGLETRANSLATE(B805,""zh"",""vi"")"),"#VALUE!")</f>
        <v>#VALUE!</v>
      </c>
    </row>
    <row r="806">
      <c r="A806">
        <v>805</v>
      </c>
      <c r="D806" t="e">
        <f>pinyin(B806)</f>
        <v>#NAME?</v>
      </c>
      <c r="E806" t="str">
        <f>IFERROR(__xludf.DUMMYFUNCTION("GOOGLETRANSLATE(B806,""zh"",""vi"")"),"#VALUE!")</f>
        <v>#VALUE!</v>
      </c>
    </row>
    <row r="807">
      <c r="A807">
        <v>806</v>
      </c>
      <c r="D807" t="e">
        <f>pinyin(B807)</f>
        <v>#NAME?</v>
      </c>
      <c r="E807" t="str">
        <f>IFERROR(__xludf.DUMMYFUNCTION("GOOGLETRANSLATE(B807,""zh"",""vi"")"),"#VALUE!")</f>
        <v>#VALUE!</v>
      </c>
    </row>
    <row r="808">
      <c r="A808">
        <v>807</v>
      </c>
      <c r="D808" t="e">
        <f>pinyin(B808)</f>
        <v>#NAME?</v>
      </c>
      <c r="E808" t="str">
        <f>IFERROR(__xludf.DUMMYFUNCTION("GOOGLETRANSLATE(B808,""zh"",""vi"")"),"#VALUE!")</f>
        <v>#VALUE!</v>
      </c>
    </row>
    <row r="809">
      <c r="A809">
        <v>808</v>
      </c>
      <c r="D809" t="e">
        <f>pinyin(B809)</f>
        <v>#NAME?</v>
      </c>
      <c r="E809" t="str">
        <f>IFERROR(__xludf.DUMMYFUNCTION("GOOGLETRANSLATE(B809,""zh"",""vi"")"),"#VALUE!")</f>
        <v>#VALUE!</v>
      </c>
    </row>
    <row r="810">
      <c r="A810">
        <v>809</v>
      </c>
      <c r="D810" t="e">
        <f>pinyin(B810)</f>
        <v>#NAME?</v>
      </c>
      <c r="E810" t="str">
        <f>IFERROR(__xludf.DUMMYFUNCTION("GOOGLETRANSLATE(B810,""zh"",""vi"")"),"#VALUE!")</f>
        <v>#VALUE!</v>
      </c>
    </row>
    <row r="811">
      <c r="A811">
        <v>810</v>
      </c>
      <c r="D811" t="e">
        <f>pinyin(B811)</f>
        <v>#NAME?</v>
      </c>
      <c r="E811" t="str">
        <f>IFERROR(__xludf.DUMMYFUNCTION("GOOGLETRANSLATE(B811,""zh"",""vi"")"),"#VALUE!")</f>
        <v>#VALUE!</v>
      </c>
    </row>
    <row r="812">
      <c r="A812">
        <v>811</v>
      </c>
      <c r="D812" t="e">
        <f>pinyin(B812)</f>
        <v>#NAME?</v>
      </c>
      <c r="E812" t="str">
        <f>IFERROR(__xludf.DUMMYFUNCTION("GOOGLETRANSLATE(B812,""zh"",""vi"")"),"#VALUE!")</f>
        <v>#VALUE!</v>
      </c>
    </row>
    <row r="813">
      <c r="A813">
        <v>812</v>
      </c>
      <c r="D813" t="e">
        <f>pinyin(B813)</f>
        <v>#NAME?</v>
      </c>
      <c r="E813" t="str">
        <f>IFERROR(__xludf.DUMMYFUNCTION("GOOGLETRANSLATE(B813,""zh"",""vi"")"),"#VALUE!")</f>
        <v>#VALUE!</v>
      </c>
    </row>
    <row r="814">
      <c r="A814">
        <v>813</v>
      </c>
      <c r="D814" t="e">
        <f>pinyin(B814)</f>
        <v>#NAME?</v>
      </c>
      <c r="E814" t="str">
        <f>IFERROR(__xludf.DUMMYFUNCTION("GOOGLETRANSLATE(B814,""zh"",""vi"")"),"#VALUE!")</f>
        <v>#VALUE!</v>
      </c>
    </row>
    <row r="815">
      <c r="A815">
        <v>814</v>
      </c>
      <c r="D815" t="e">
        <f>pinyin(B815)</f>
        <v>#NAME?</v>
      </c>
      <c r="E815" t="str">
        <f>IFERROR(__xludf.DUMMYFUNCTION("GOOGLETRANSLATE(B815,""zh"",""vi"")"),"#VALUE!")</f>
        <v>#VALUE!</v>
      </c>
    </row>
    <row r="816">
      <c r="A816">
        <v>815</v>
      </c>
      <c r="D816" t="e">
        <f>pinyin(B816)</f>
        <v>#NAME?</v>
      </c>
      <c r="E816" t="str">
        <f>IFERROR(__xludf.DUMMYFUNCTION("GOOGLETRANSLATE(B816,""zh"",""vi"")"),"#VALUE!")</f>
        <v>#VALUE!</v>
      </c>
    </row>
    <row r="817">
      <c r="A817">
        <v>816</v>
      </c>
      <c r="D817" t="e">
        <f>pinyin(B817)</f>
        <v>#NAME?</v>
      </c>
      <c r="E817" t="str">
        <f>IFERROR(__xludf.DUMMYFUNCTION("GOOGLETRANSLATE(B817,""zh"",""vi"")"),"#VALUE!")</f>
        <v>#VALUE!</v>
      </c>
    </row>
    <row r="818">
      <c r="A818">
        <v>817</v>
      </c>
      <c r="D818" t="e">
        <f>pinyin(B818)</f>
        <v>#NAME?</v>
      </c>
      <c r="E818" t="str">
        <f>IFERROR(__xludf.DUMMYFUNCTION("GOOGLETRANSLATE(B818,""zh"",""vi"")"),"#VALUE!")</f>
        <v>#VALUE!</v>
      </c>
    </row>
    <row r="819">
      <c r="A819">
        <v>818</v>
      </c>
      <c r="D819" t="e">
        <f>pinyin(B819)</f>
        <v>#NAME?</v>
      </c>
      <c r="E819" t="str">
        <f>IFERROR(__xludf.DUMMYFUNCTION("GOOGLETRANSLATE(B819,""zh"",""vi"")"),"#VALUE!")</f>
        <v>#VALUE!</v>
      </c>
    </row>
    <row r="820">
      <c r="A820">
        <v>819</v>
      </c>
      <c r="D820" t="e">
        <f>pinyin(B820)</f>
        <v>#NAME?</v>
      </c>
      <c r="E820" t="str">
        <f>IFERROR(__xludf.DUMMYFUNCTION("GOOGLETRANSLATE(B820,""zh"",""vi"")"),"#VALUE!")</f>
        <v>#VALUE!</v>
      </c>
    </row>
    <row r="821">
      <c r="A821">
        <v>820</v>
      </c>
      <c r="D821" t="e">
        <f>pinyin(B821)</f>
        <v>#NAME?</v>
      </c>
      <c r="E821" t="str">
        <f>IFERROR(__xludf.DUMMYFUNCTION("GOOGLETRANSLATE(B821,""zh"",""vi"")"),"#VALUE!")</f>
        <v>#VALUE!</v>
      </c>
    </row>
    <row r="822">
      <c r="A822">
        <v>821</v>
      </c>
      <c r="D822" t="e">
        <f>pinyin(B822)</f>
        <v>#NAME?</v>
      </c>
      <c r="E822" t="str">
        <f>IFERROR(__xludf.DUMMYFUNCTION("GOOGLETRANSLATE(B822,""zh"",""vi"")"),"#VALUE!")</f>
        <v>#VALUE!</v>
      </c>
    </row>
    <row r="823">
      <c r="A823">
        <v>822</v>
      </c>
      <c r="D823" t="e">
        <f>pinyin(B823)</f>
        <v>#NAME?</v>
      </c>
      <c r="E823" t="str">
        <f>IFERROR(__xludf.DUMMYFUNCTION("GOOGLETRANSLATE(B823,""zh"",""vi"")"),"#VALUE!")</f>
        <v>#VALUE!</v>
      </c>
    </row>
    <row r="824">
      <c r="A824">
        <v>823</v>
      </c>
      <c r="D824" t="e">
        <f>pinyin(B824)</f>
        <v>#NAME?</v>
      </c>
      <c r="E824" t="str">
        <f>IFERROR(__xludf.DUMMYFUNCTION("GOOGLETRANSLATE(B824,""zh"",""vi"")"),"#VALUE!")</f>
        <v>#VALUE!</v>
      </c>
    </row>
    <row r="825">
      <c r="A825">
        <v>824</v>
      </c>
      <c r="D825" t="e">
        <f>pinyin(B825)</f>
        <v>#NAME?</v>
      </c>
      <c r="E825" t="str">
        <f>IFERROR(__xludf.DUMMYFUNCTION("GOOGLETRANSLATE(B825,""zh"",""vi"")"),"#VALUE!")</f>
        <v>#VALUE!</v>
      </c>
    </row>
    <row r="826">
      <c r="A826">
        <v>825</v>
      </c>
      <c r="D826" t="e">
        <f>pinyin(B826)</f>
        <v>#NAME?</v>
      </c>
      <c r="E826" t="str">
        <f>IFERROR(__xludf.DUMMYFUNCTION("GOOGLETRANSLATE(B826,""zh"",""vi"")"),"#VALUE!")</f>
        <v>#VALUE!</v>
      </c>
    </row>
    <row r="827">
      <c r="A827">
        <v>826</v>
      </c>
      <c r="D827" t="e">
        <f>pinyin(B827)</f>
        <v>#NAME?</v>
      </c>
      <c r="E827" t="str">
        <f>IFERROR(__xludf.DUMMYFUNCTION("GOOGLETRANSLATE(B827,""zh"",""vi"")"),"#VALUE!")</f>
        <v>#VALUE!</v>
      </c>
    </row>
    <row r="828">
      <c r="A828">
        <v>827</v>
      </c>
      <c r="D828" t="e">
        <f>pinyin(B828)</f>
        <v>#NAME?</v>
      </c>
      <c r="E828" t="str">
        <f>IFERROR(__xludf.DUMMYFUNCTION("GOOGLETRANSLATE(B828,""zh"",""vi"")"),"#VALUE!")</f>
        <v>#VALUE!</v>
      </c>
    </row>
    <row r="829">
      <c r="A829">
        <v>828</v>
      </c>
      <c r="D829" t="e">
        <f>pinyin(B829)</f>
        <v>#NAME?</v>
      </c>
      <c r="E829" t="str">
        <f>IFERROR(__xludf.DUMMYFUNCTION("GOOGLETRANSLATE(B829,""zh"",""vi"")"),"#VALUE!")</f>
        <v>#VALUE!</v>
      </c>
    </row>
    <row r="830">
      <c r="A830">
        <v>829</v>
      </c>
      <c r="D830" t="e">
        <f>pinyin(B830)</f>
        <v>#NAME?</v>
      </c>
      <c r="E830" t="str">
        <f>IFERROR(__xludf.DUMMYFUNCTION("GOOGLETRANSLATE(B830,""zh"",""vi"")"),"#VALUE!")</f>
        <v>#VALUE!</v>
      </c>
    </row>
    <row r="831">
      <c r="A831">
        <v>830</v>
      </c>
      <c r="D831" t="e">
        <f>pinyin(B831)</f>
        <v>#NAME?</v>
      </c>
      <c r="E831" t="str">
        <f>IFERROR(__xludf.DUMMYFUNCTION("GOOGLETRANSLATE(B831,""zh"",""vi"")"),"#VALUE!")</f>
        <v>#VALUE!</v>
      </c>
    </row>
    <row r="832">
      <c r="A832">
        <v>831</v>
      </c>
      <c r="D832" t="e">
        <f>pinyin(B832)</f>
        <v>#NAME?</v>
      </c>
      <c r="E832" t="str">
        <f>IFERROR(__xludf.DUMMYFUNCTION("GOOGLETRANSLATE(B832,""zh"",""vi"")"),"#VALUE!")</f>
        <v>#VALUE!</v>
      </c>
    </row>
    <row r="833">
      <c r="A833">
        <v>832</v>
      </c>
      <c r="D833" t="e">
        <f>pinyin(B833)</f>
        <v>#NAME?</v>
      </c>
      <c r="E833" t="str">
        <f>IFERROR(__xludf.DUMMYFUNCTION("GOOGLETRANSLATE(B833,""zh"",""vi"")"),"#VALUE!")</f>
        <v>#VALUE!</v>
      </c>
    </row>
    <row r="834">
      <c r="A834">
        <v>833</v>
      </c>
      <c r="D834" t="e">
        <f>pinyin(B834)</f>
        <v>#NAME?</v>
      </c>
      <c r="E834" t="str">
        <f>IFERROR(__xludf.DUMMYFUNCTION("GOOGLETRANSLATE(B834,""zh"",""vi"")"),"#VALUE!")</f>
        <v>#VALUE!</v>
      </c>
    </row>
    <row r="835">
      <c r="A835">
        <v>834</v>
      </c>
      <c r="D835" t="e">
        <f>pinyin(B835)</f>
        <v>#NAME?</v>
      </c>
      <c r="E835" t="str">
        <f>IFERROR(__xludf.DUMMYFUNCTION("GOOGLETRANSLATE(B835,""zh"",""vi"")"),"#VALUE!")</f>
        <v>#VALUE!</v>
      </c>
    </row>
    <row r="836">
      <c r="A836">
        <v>835</v>
      </c>
      <c r="D836" t="e">
        <f>pinyin(B836)</f>
        <v>#NAME?</v>
      </c>
      <c r="E836" t="str">
        <f>IFERROR(__xludf.DUMMYFUNCTION("GOOGLETRANSLATE(B836,""zh"",""vi"")"),"#VALUE!")</f>
        <v>#VALUE!</v>
      </c>
    </row>
    <row r="837">
      <c r="A837">
        <v>836</v>
      </c>
      <c r="D837" t="e">
        <f>pinyin(B837)</f>
        <v>#NAME?</v>
      </c>
      <c r="E837" t="str">
        <f>IFERROR(__xludf.DUMMYFUNCTION("GOOGLETRANSLATE(B837,""zh"",""vi"")"),"#VALUE!")</f>
        <v>#VALUE!</v>
      </c>
    </row>
    <row r="838">
      <c r="A838">
        <v>837</v>
      </c>
      <c r="D838" t="e">
        <f>pinyin(B838)</f>
        <v>#NAME?</v>
      </c>
      <c r="E838" t="str">
        <f>IFERROR(__xludf.DUMMYFUNCTION("GOOGLETRANSLATE(B838,""zh"",""vi"")"),"#VALUE!")</f>
        <v>#VALUE!</v>
      </c>
    </row>
    <row r="839">
      <c r="A839">
        <v>838</v>
      </c>
      <c r="D839" t="e">
        <f>pinyin(B839)</f>
        <v>#NAME?</v>
      </c>
      <c r="E839" t="str">
        <f>IFERROR(__xludf.DUMMYFUNCTION("GOOGLETRANSLATE(B839,""zh"",""vi"")"),"#VALUE!")</f>
        <v>#VALUE!</v>
      </c>
    </row>
    <row r="840">
      <c r="A840">
        <v>839</v>
      </c>
      <c r="D840" t="e">
        <f>pinyin(B840)</f>
        <v>#NAME?</v>
      </c>
      <c r="E840" t="str">
        <f>IFERROR(__xludf.DUMMYFUNCTION("GOOGLETRANSLATE(B840,""zh"",""vi"")"),"#VALUE!")</f>
        <v>#VALUE!</v>
      </c>
    </row>
    <row r="841">
      <c r="A841">
        <v>840</v>
      </c>
      <c r="D841" t="e">
        <f>pinyin(B841)</f>
        <v>#NAME?</v>
      </c>
      <c r="E841" t="str">
        <f>IFERROR(__xludf.DUMMYFUNCTION("GOOGLETRANSLATE(B841,""zh"",""vi"")"),"#VALUE!")</f>
        <v>#VALUE!</v>
      </c>
    </row>
    <row r="842">
      <c r="A842">
        <v>841</v>
      </c>
      <c r="D842" t="e">
        <f>pinyin(B842)</f>
        <v>#NAME?</v>
      </c>
      <c r="E842" t="str">
        <f>IFERROR(__xludf.DUMMYFUNCTION("GOOGLETRANSLATE(B842,""zh"",""vi"")"),"#VALUE!")</f>
        <v>#VALUE!</v>
      </c>
    </row>
    <row r="843">
      <c r="A843">
        <v>842</v>
      </c>
      <c r="D843" t="e">
        <f>pinyin(B843)</f>
        <v>#NAME?</v>
      </c>
      <c r="E843" t="str">
        <f>IFERROR(__xludf.DUMMYFUNCTION("GOOGLETRANSLATE(B843,""zh"",""vi"")"),"#VALUE!")</f>
        <v>#VALUE!</v>
      </c>
    </row>
    <row r="844">
      <c r="A844">
        <v>843</v>
      </c>
      <c r="D844" t="e">
        <f>pinyin(B844)</f>
        <v>#NAME?</v>
      </c>
      <c r="E844" t="str">
        <f>IFERROR(__xludf.DUMMYFUNCTION("GOOGLETRANSLATE(B844,""zh"",""vi"")"),"#VALUE!")</f>
        <v>#VALUE!</v>
      </c>
    </row>
    <row r="845">
      <c r="A845">
        <v>844</v>
      </c>
      <c r="D845" t="e">
        <f>pinyin(B845)</f>
        <v>#NAME?</v>
      </c>
      <c r="E845" t="str">
        <f>IFERROR(__xludf.DUMMYFUNCTION("GOOGLETRANSLATE(B845,""zh"",""vi"")"),"#VALUE!")</f>
        <v>#VALUE!</v>
      </c>
    </row>
    <row r="846">
      <c r="A846">
        <v>845</v>
      </c>
      <c r="D846" t="e">
        <f>pinyin(B846)</f>
        <v>#NAME?</v>
      </c>
      <c r="E846" t="str">
        <f>IFERROR(__xludf.DUMMYFUNCTION("GOOGLETRANSLATE(B846,""zh"",""vi"")"),"#VALUE!")</f>
        <v>#VALUE!</v>
      </c>
    </row>
    <row r="847">
      <c r="A847">
        <v>846</v>
      </c>
      <c r="D847" t="e">
        <f>pinyin(B847)</f>
        <v>#NAME?</v>
      </c>
      <c r="E847" t="str">
        <f>IFERROR(__xludf.DUMMYFUNCTION("GOOGLETRANSLATE(B847,""zh"",""vi"")"),"#VALUE!")</f>
        <v>#VALUE!</v>
      </c>
    </row>
    <row r="848">
      <c r="A848">
        <v>847</v>
      </c>
      <c r="D848" t="e">
        <f>pinyin(B848)</f>
        <v>#NAME?</v>
      </c>
      <c r="E848" t="str">
        <f>IFERROR(__xludf.DUMMYFUNCTION("GOOGLETRANSLATE(B848,""zh"",""vi"")"),"#VALUE!")</f>
        <v>#VALUE!</v>
      </c>
    </row>
    <row r="849">
      <c r="A849">
        <v>848</v>
      </c>
      <c r="D849" t="e">
        <f>pinyin(B849)</f>
        <v>#NAME?</v>
      </c>
      <c r="E849" t="str">
        <f>IFERROR(__xludf.DUMMYFUNCTION("GOOGLETRANSLATE(B849,""zh"",""vi"")"),"#VALUE!")</f>
        <v>#VALUE!</v>
      </c>
    </row>
    <row r="850">
      <c r="A850">
        <v>849</v>
      </c>
      <c r="D850" t="e">
        <f>pinyin(B850)</f>
        <v>#NAME?</v>
      </c>
      <c r="E850" t="str">
        <f>IFERROR(__xludf.DUMMYFUNCTION("GOOGLETRANSLATE(B850,""zh"",""vi"")"),"#VALUE!")</f>
        <v>#VALUE!</v>
      </c>
    </row>
    <row r="851">
      <c r="A851">
        <v>850</v>
      </c>
      <c r="D851" t="e">
        <f>pinyin(B851)</f>
        <v>#NAME?</v>
      </c>
      <c r="E851" t="str">
        <f>IFERROR(__xludf.DUMMYFUNCTION("GOOGLETRANSLATE(B851,""zh"",""vi"")"),"#VALUE!")</f>
        <v>#VALUE!</v>
      </c>
    </row>
    <row r="852">
      <c r="A852">
        <v>851</v>
      </c>
      <c r="D852" t="e">
        <f>pinyin(B852)</f>
        <v>#NAME?</v>
      </c>
      <c r="E852" t="str">
        <f>IFERROR(__xludf.DUMMYFUNCTION("GOOGLETRANSLATE(B852,""zh"",""vi"")"),"#VALUE!")</f>
        <v>#VALUE!</v>
      </c>
    </row>
    <row r="853">
      <c r="A853">
        <v>852</v>
      </c>
      <c r="D853" t="e">
        <f>pinyin(B853)</f>
        <v>#NAME?</v>
      </c>
      <c r="E853" t="str">
        <f>IFERROR(__xludf.DUMMYFUNCTION("GOOGLETRANSLATE(B853,""zh"",""vi"")"),"#VALUE!")</f>
        <v>#VALUE!</v>
      </c>
    </row>
    <row r="854">
      <c r="A854">
        <v>853</v>
      </c>
      <c r="D854" t="e">
        <f>pinyin(B854)</f>
        <v>#NAME?</v>
      </c>
      <c r="E854" t="str">
        <f>IFERROR(__xludf.DUMMYFUNCTION("GOOGLETRANSLATE(B854,""zh"",""vi"")"),"#VALUE!")</f>
        <v>#VALUE!</v>
      </c>
    </row>
    <row r="855">
      <c r="A855">
        <v>854</v>
      </c>
      <c r="D855" t="e">
        <f>pinyin(B855)</f>
        <v>#NAME?</v>
      </c>
      <c r="E855" t="str">
        <f>IFERROR(__xludf.DUMMYFUNCTION("GOOGLETRANSLATE(B855,""zh"",""vi"")"),"#VALUE!")</f>
        <v>#VALUE!</v>
      </c>
    </row>
    <row r="856">
      <c r="A856">
        <v>855</v>
      </c>
      <c r="D856" t="e">
        <f>pinyin(B856)</f>
        <v>#NAME?</v>
      </c>
      <c r="E856" t="str">
        <f>IFERROR(__xludf.DUMMYFUNCTION("GOOGLETRANSLATE(B856,""zh"",""vi"")"),"#VALUE!")</f>
        <v>#VALUE!</v>
      </c>
    </row>
    <row r="857">
      <c r="A857">
        <v>856</v>
      </c>
      <c r="D857" t="e">
        <f>pinyin(B857)</f>
        <v>#NAME?</v>
      </c>
      <c r="E857" t="str">
        <f>IFERROR(__xludf.DUMMYFUNCTION("GOOGLETRANSLATE(B857,""zh"",""vi"")"),"#VALUE!")</f>
        <v>#VALUE!</v>
      </c>
    </row>
    <row r="858">
      <c r="A858">
        <v>857</v>
      </c>
      <c r="D858" t="e">
        <f>pinyin(B858)</f>
        <v>#NAME?</v>
      </c>
      <c r="E858" t="str">
        <f>IFERROR(__xludf.DUMMYFUNCTION("GOOGLETRANSLATE(B858,""zh"",""vi"")"),"#VALUE!")</f>
        <v>#VALUE!</v>
      </c>
    </row>
    <row r="859">
      <c r="A859">
        <v>858</v>
      </c>
      <c r="D859" t="e">
        <f>pinyin(B859)</f>
        <v>#NAME?</v>
      </c>
      <c r="E859" t="str">
        <f>IFERROR(__xludf.DUMMYFUNCTION("GOOGLETRANSLATE(B859,""zh"",""vi"")"),"#VALUE!")</f>
        <v>#VALUE!</v>
      </c>
    </row>
    <row r="860">
      <c r="A860">
        <v>859</v>
      </c>
      <c r="D860" t="e">
        <f>pinyin(B860)</f>
        <v>#NAME?</v>
      </c>
      <c r="E860" t="str">
        <f>IFERROR(__xludf.DUMMYFUNCTION("GOOGLETRANSLATE(B860,""zh"",""vi"")"),"#VALUE!")</f>
        <v>#VALUE!</v>
      </c>
    </row>
    <row r="861">
      <c r="A861">
        <v>860</v>
      </c>
      <c r="D861" t="e">
        <f>pinyin(B861)</f>
        <v>#NAME?</v>
      </c>
      <c r="E861" t="str">
        <f>IFERROR(__xludf.DUMMYFUNCTION("GOOGLETRANSLATE(B861,""zh"",""vi"")"),"#VALUE!")</f>
        <v>#VALUE!</v>
      </c>
    </row>
    <row r="862">
      <c r="A862">
        <v>861</v>
      </c>
      <c r="D862" t="e">
        <f>pinyin(B862)</f>
        <v>#NAME?</v>
      </c>
      <c r="E862" t="str">
        <f>IFERROR(__xludf.DUMMYFUNCTION("GOOGLETRANSLATE(B862,""zh"",""vi"")"),"#VALUE!")</f>
        <v>#VALUE!</v>
      </c>
    </row>
    <row r="863">
      <c r="A863">
        <v>862</v>
      </c>
      <c r="D863" t="e">
        <f>pinyin(B863)</f>
        <v>#NAME?</v>
      </c>
      <c r="E863" t="str">
        <f>IFERROR(__xludf.DUMMYFUNCTION("GOOGLETRANSLATE(B863,""zh"",""vi"")"),"#VALUE!")</f>
        <v>#VALUE!</v>
      </c>
    </row>
    <row r="864">
      <c r="A864">
        <v>863</v>
      </c>
      <c r="D864" t="e">
        <f>pinyin(B864)</f>
        <v>#NAME?</v>
      </c>
      <c r="E864" t="str">
        <f>IFERROR(__xludf.DUMMYFUNCTION("GOOGLETRANSLATE(B864,""zh"",""vi"")"),"#VALUE!")</f>
        <v>#VALUE!</v>
      </c>
    </row>
    <row r="865">
      <c r="A865">
        <v>864</v>
      </c>
      <c r="D865" t="e">
        <f>pinyin(B865)</f>
        <v>#NAME?</v>
      </c>
      <c r="E865" t="str">
        <f>IFERROR(__xludf.DUMMYFUNCTION("GOOGLETRANSLATE(B865,""zh"",""vi"")"),"#VALUE!")</f>
        <v>#VALUE!</v>
      </c>
    </row>
    <row r="866">
      <c r="A866">
        <v>865</v>
      </c>
      <c r="D866" t="e">
        <f>pinyin(B866)</f>
        <v>#NAME?</v>
      </c>
      <c r="E866" t="str">
        <f>IFERROR(__xludf.DUMMYFUNCTION("GOOGLETRANSLATE(B866,""zh"",""vi"")"),"#VALUE!")</f>
        <v>#VALUE!</v>
      </c>
    </row>
    <row r="867">
      <c r="A867">
        <v>866</v>
      </c>
      <c r="D867" t="e">
        <f>pinyin(B867)</f>
        <v>#NAME?</v>
      </c>
      <c r="E867" t="str">
        <f>IFERROR(__xludf.DUMMYFUNCTION("GOOGLETRANSLATE(B867,""zh"",""vi"")"),"#VALUE!")</f>
        <v>#VALUE!</v>
      </c>
    </row>
    <row r="868">
      <c r="A868">
        <v>867</v>
      </c>
      <c r="D868" t="e">
        <f>pinyin(B868)</f>
        <v>#NAME?</v>
      </c>
      <c r="E868" t="str">
        <f>IFERROR(__xludf.DUMMYFUNCTION("GOOGLETRANSLATE(B868,""zh"",""vi"")"),"#VALUE!")</f>
        <v>#VALUE!</v>
      </c>
    </row>
    <row r="869">
      <c r="A869">
        <v>868</v>
      </c>
      <c r="D869" t="e">
        <f>pinyin(B869)</f>
        <v>#NAME?</v>
      </c>
      <c r="E869" t="str">
        <f>IFERROR(__xludf.DUMMYFUNCTION("GOOGLETRANSLATE(B869,""zh"",""vi"")"),"#VALUE!")</f>
        <v>#VALUE!</v>
      </c>
    </row>
    <row r="870">
      <c r="A870">
        <v>869</v>
      </c>
      <c r="D870" t="e">
        <f>pinyin(B870)</f>
        <v>#NAME?</v>
      </c>
      <c r="E870" t="str">
        <f>IFERROR(__xludf.DUMMYFUNCTION("GOOGLETRANSLATE(B870,""zh"",""vi"")"),"#VALUE!")</f>
        <v>#VALUE!</v>
      </c>
    </row>
    <row r="871">
      <c r="A871">
        <v>870</v>
      </c>
      <c r="D871" t="e">
        <f>pinyin(B871)</f>
        <v>#NAME?</v>
      </c>
      <c r="E871" t="str">
        <f>IFERROR(__xludf.DUMMYFUNCTION("GOOGLETRANSLATE(B871,""zh"",""vi"")"),"#VALUE!")</f>
        <v>#VALUE!</v>
      </c>
    </row>
    <row r="872">
      <c r="A872">
        <v>871</v>
      </c>
      <c r="D872" t="e">
        <f>pinyin(B872)</f>
        <v>#NAME?</v>
      </c>
      <c r="E872" t="str">
        <f>IFERROR(__xludf.DUMMYFUNCTION("GOOGLETRANSLATE(B872,""zh"",""vi"")"),"#VALUE!")</f>
        <v>#VALUE!</v>
      </c>
    </row>
    <row r="873">
      <c r="A873">
        <v>872</v>
      </c>
      <c r="D873" t="e">
        <f>pinyin(B873)</f>
        <v>#NAME?</v>
      </c>
      <c r="E873" t="str">
        <f>IFERROR(__xludf.DUMMYFUNCTION("GOOGLETRANSLATE(B873,""zh"",""vi"")"),"#VALUE!")</f>
        <v>#VALUE!</v>
      </c>
    </row>
    <row r="874">
      <c r="A874">
        <v>873</v>
      </c>
      <c r="D874" t="e">
        <f>pinyin(B874)</f>
        <v>#NAME?</v>
      </c>
      <c r="E874" t="str">
        <f>IFERROR(__xludf.DUMMYFUNCTION("GOOGLETRANSLATE(B874,""zh"",""vi"")"),"#VALUE!")</f>
        <v>#VALUE!</v>
      </c>
    </row>
    <row r="875">
      <c r="A875">
        <v>874</v>
      </c>
      <c r="D875" t="e">
        <f>pinyin(B875)</f>
        <v>#NAME?</v>
      </c>
      <c r="E875" t="str">
        <f>IFERROR(__xludf.DUMMYFUNCTION("GOOGLETRANSLATE(B875,""zh"",""vi"")"),"#VALUE!")</f>
        <v>#VALUE!</v>
      </c>
    </row>
    <row r="876">
      <c r="A876">
        <v>875</v>
      </c>
      <c r="D876" t="e">
        <f>pinyin(B876)</f>
        <v>#NAME?</v>
      </c>
      <c r="E876" t="str">
        <f>IFERROR(__xludf.DUMMYFUNCTION("GOOGLETRANSLATE(B876,""zh"",""vi"")"),"#VALUE!")</f>
        <v>#VALUE!</v>
      </c>
    </row>
    <row r="877">
      <c r="A877">
        <v>876</v>
      </c>
      <c r="D877" t="e">
        <f>pinyin(B877)</f>
        <v>#NAME?</v>
      </c>
      <c r="E877" t="str">
        <f>IFERROR(__xludf.DUMMYFUNCTION("GOOGLETRANSLATE(B877,""zh"",""vi"")"),"#VALUE!")</f>
        <v>#VALUE!</v>
      </c>
    </row>
    <row r="878">
      <c r="A878">
        <v>877</v>
      </c>
      <c r="D878" t="e">
        <f>pinyin(B878)</f>
        <v>#NAME?</v>
      </c>
      <c r="E878" t="str">
        <f>IFERROR(__xludf.DUMMYFUNCTION("GOOGLETRANSLATE(B878,""zh"",""vi"")"),"#VALUE!")</f>
        <v>#VALUE!</v>
      </c>
    </row>
    <row r="879">
      <c r="A879">
        <v>878</v>
      </c>
      <c r="D879" t="e">
        <f>pinyin(B879)</f>
        <v>#NAME?</v>
      </c>
      <c r="E879" t="str">
        <f>IFERROR(__xludf.DUMMYFUNCTION("GOOGLETRANSLATE(B879,""zh"",""vi"")"),"#VALUE!")</f>
        <v>#VALUE!</v>
      </c>
    </row>
    <row r="880">
      <c r="A880">
        <v>879</v>
      </c>
      <c r="D880" t="e">
        <f>pinyin(B880)</f>
        <v>#NAME?</v>
      </c>
      <c r="E880" t="str">
        <f>IFERROR(__xludf.DUMMYFUNCTION("GOOGLETRANSLATE(B880,""zh"",""vi"")"),"#VALUE!")</f>
        <v>#VALUE!</v>
      </c>
    </row>
    <row r="881">
      <c r="A881">
        <v>880</v>
      </c>
      <c r="D881" t="e">
        <f>pinyin(B881)</f>
        <v>#NAME?</v>
      </c>
      <c r="E881" t="str">
        <f>IFERROR(__xludf.DUMMYFUNCTION("GOOGLETRANSLATE(B881,""zh"",""vi"")"),"#VALUE!")</f>
        <v>#VALUE!</v>
      </c>
    </row>
    <row r="882">
      <c r="A882">
        <v>881</v>
      </c>
      <c r="D882" t="e">
        <f>pinyin(B882)</f>
        <v>#NAME?</v>
      </c>
      <c r="E882" t="str">
        <f>IFERROR(__xludf.DUMMYFUNCTION("GOOGLETRANSLATE(B882,""zh"",""vi"")"),"#VALUE!")</f>
        <v>#VALUE!</v>
      </c>
    </row>
    <row r="883">
      <c r="A883">
        <v>882</v>
      </c>
      <c r="D883" t="e">
        <f>pinyin(B883)</f>
        <v>#NAME?</v>
      </c>
      <c r="E883" t="str">
        <f>IFERROR(__xludf.DUMMYFUNCTION("GOOGLETRANSLATE(B883,""zh"",""vi"")"),"#VALUE!")</f>
        <v>#VALUE!</v>
      </c>
    </row>
    <row r="884">
      <c r="A884">
        <v>883</v>
      </c>
      <c r="D884" t="e">
        <f>pinyin(B884)</f>
        <v>#NAME?</v>
      </c>
      <c r="E884" t="str">
        <f>IFERROR(__xludf.DUMMYFUNCTION("GOOGLETRANSLATE(B884,""zh"",""vi"")"),"#VALUE!")</f>
        <v>#VALUE!</v>
      </c>
    </row>
    <row r="885">
      <c r="A885">
        <v>884</v>
      </c>
      <c r="D885" t="e">
        <f>pinyin(B885)</f>
        <v>#NAME?</v>
      </c>
      <c r="E885" t="str">
        <f>IFERROR(__xludf.DUMMYFUNCTION("GOOGLETRANSLATE(B885,""zh"",""vi"")"),"#VALUE!")</f>
        <v>#VALUE!</v>
      </c>
    </row>
    <row r="886">
      <c r="A886">
        <v>885</v>
      </c>
      <c r="D886" t="e">
        <f>pinyin(B886)</f>
        <v>#NAME?</v>
      </c>
      <c r="E886" t="str">
        <f>IFERROR(__xludf.DUMMYFUNCTION("GOOGLETRANSLATE(B886,""zh"",""vi"")"),"#VALUE!")</f>
        <v>#VALUE!</v>
      </c>
    </row>
    <row r="887">
      <c r="A887">
        <v>886</v>
      </c>
      <c r="D887" t="e">
        <f>pinyin(B887)</f>
        <v>#NAME?</v>
      </c>
      <c r="E887" t="str">
        <f>IFERROR(__xludf.DUMMYFUNCTION("GOOGLETRANSLATE(B887,""zh"",""vi"")"),"#VALUE!")</f>
        <v>#VALUE!</v>
      </c>
    </row>
    <row r="888">
      <c r="A888">
        <v>887</v>
      </c>
      <c r="D888" t="e">
        <f>pinyin(B888)</f>
        <v>#NAME?</v>
      </c>
      <c r="E888" t="str">
        <f>IFERROR(__xludf.DUMMYFUNCTION("GOOGLETRANSLATE(B888,""zh"",""vi"")"),"#VALUE!")</f>
        <v>#VALUE!</v>
      </c>
    </row>
    <row r="889">
      <c r="A889">
        <v>888</v>
      </c>
      <c r="D889" t="e">
        <f>pinyin(B889)</f>
        <v>#NAME?</v>
      </c>
      <c r="E889" t="str">
        <f>IFERROR(__xludf.DUMMYFUNCTION("GOOGLETRANSLATE(B889,""zh"",""vi"")"),"#VALUE!")</f>
        <v>#VALUE!</v>
      </c>
    </row>
    <row r="890">
      <c r="A890">
        <v>889</v>
      </c>
      <c r="D890" t="e">
        <f>pinyin(B890)</f>
        <v>#NAME?</v>
      </c>
      <c r="E890" t="str">
        <f>IFERROR(__xludf.DUMMYFUNCTION("GOOGLETRANSLATE(B890,""zh"",""vi"")"),"#VALUE!")</f>
        <v>#VALUE!</v>
      </c>
    </row>
    <row r="891">
      <c r="A891">
        <v>890</v>
      </c>
      <c r="D891" t="e">
        <f>pinyin(B891)</f>
        <v>#NAME?</v>
      </c>
      <c r="E891" t="str">
        <f>IFERROR(__xludf.DUMMYFUNCTION("GOOGLETRANSLATE(B891,""zh"",""vi"")"),"#VALUE!")</f>
        <v>#VALUE!</v>
      </c>
    </row>
    <row r="892">
      <c r="A892">
        <v>891</v>
      </c>
      <c r="D892" t="e">
        <f>pinyin(B892)</f>
        <v>#NAME?</v>
      </c>
      <c r="E892" t="str">
        <f>IFERROR(__xludf.DUMMYFUNCTION("GOOGLETRANSLATE(B892,""zh"",""vi"")"),"#VALUE!")</f>
        <v>#VALUE!</v>
      </c>
    </row>
    <row r="893">
      <c r="A893">
        <v>892</v>
      </c>
      <c r="D893" t="e">
        <f>pinyin(B893)</f>
        <v>#NAME?</v>
      </c>
      <c r="E893" t="str">
        <f>IFERROR(__xludf.DUMMYFUNCTION("GOOGLETRANSLATE(B893,""zh"",""vi"")"),"#VALUE!")</f>
        <v>#VALUE!</v>
      </c>
    </row>
    <row r="894">
      <c r="A894">
        <v>893</v>
      </c>
      <c r="D894" t="e">
        <f>pinyin(B894)</f>
        <v>#NAME?</v>
      </c>
      <c r="E894" t="str">
        <f>IFERROR(__xludf.DUMMYFUNCTION("GOOGLETRANSLATE(B894,""zh"",""vi"")"),"#VALUE!")</f>
        <v>#VALUE!</v>
      </c>
    </row>
    <row r="895">
      <c r="A895">
        <v>894</v>
      </c>
      <c r="D895" t="e">
        <f>pinyin(B895)</f>
        <v>#NAME?</v>
      </c>
      <c r="E895" t="str">
        <f>IFERROR(__xludf.DUMMYFUNCTION("GOOGLETRANSLATE(B895,""zh"",""vi"")"),"#VALUE!")</f>
        <v>#VALUE!</v>
      </c>
    </row>
    <row r="896">
      <c r="A896">
        <v>895</v>
      </c>
      <c r="D896" t="e">
        <f>pinyin(B896)</f>
        <v>#NAME?</v>
      </c>
      <c r="E896" t="str">
        <f>IFERROR(__xludf.DUMMYFUNCTION("GOOGLETRANSLATE(B896,""zh"",""vi"")"),"#VALUE!")</f>
        <v>#VALUE!</v>
      </c>
    </row>
    <row r="897">
      <c r="A897">
        <v>896</v>
      </c>
      <c r="D897" t="e">
        <f>pinyin(B897)</f>
        <v>#NAME?</v>
      </c>
      <c r="E897" t="str">
        <f>IFERROR(__xludf.DUMMYFUNCTION("GOOGLETRANSLATE(B897,""zh"",""vi"")"),"#VALUE!")</f>
        <v>#VALUE!</v>
      </c>
    </row>
    <row r="898">
      <c r="A898">
        <v>897</v>
      </c>
      <c r="D898" t="e">
        <f>pinyin(B898)</f>
        <v>#NAME?</v>
      </c>
      <c r="E898" t="str">
        <f>IFERROR(__xludf.DUMMYFUNCTION("GOOGLETRANSLATE(B898,""zh"",""vi"")"),"#VALUE!")</f>
        <v>#VALUE!</v>
      </c>
    </row>
    <row r="899">
      <c r="A899">
        <v>898</v>
      </c>
      <c r="D899" t="e">
        <f>pinyin(B899)</f>
        <v>#NAME?</v>
      </c>
      <c r="E899" t="str">
        <f>IFERROR(__xludf.DUMMYFUNCTION("GOOGLETRANSLATE(B899,""zh"",""vi"")"),"#VALUE!")</f>
        <v>#VALUE!</v>
      </c>
    </row>
    <row r="900">
      <c r="A900">
        <v>899</v>
      </c>
      <c r="D900" t="e">
        <f>pinyin(B900)</f>
        <v>#NAME?</v>
      </c>
      <c r="E900" t="str">
        <f>IFERROR(__xludf.DUMMYFUNCTION("GOOGLETRANSLATE(B900,""zh"",""vi"")"),"#VALUE!")</f>
        <v>#VALUE!</v>
      </c>
    </row>
    <row r="901">
      <c r="A901">
        <v>900</v>
      </c>
      <c r="D901" t="e">
        <f>pinyin(B901)</f>
        <v>#NAME?</v>
      </c>
      <c r="E901" t="str">
        <f>IFERROR(__xludf.DUMMYFUNCTION("GOOGLETRANSLATE(B901,""zh"",""vi"")"),"#VALUE!")</f>
        <v>#VALUE!</v>
      </c>
    </row>
    <row r="902">
      <c r="A902">
        <v>901</v>
      </c>
      <c r="D902" t="e">
        <f>pinyin(B902)</f>
        <v>#NAME?</v>
      </c>
      <c r="E902" t="str">
        <f>IFERROR(__xludf.DUMMYFUNCTION("GOOGLETRANSLATE(B902,""zh"",""vi"")"),"#VALUE!")</f>
        <v>#VALUE!</v>
      </c>
    </row>
    <row r="903">
      <c r="A903">
        <v>902</v>
      </c>
      <c r="D903" t="e">
        <f>pinyin(B903)</f>
        <v>#NAME?</v>
      </c>
      <c r="E903" t="str">
        <f>IFERROR(__xludf.DUMMYFUNCTION("GOOGLETRANSLATE(B903,""zh"",""vi"")"),"#VALUE!")</f>
        <v>#VALUE!</v>
      </c>
    </row>
    <row r="904">
      <c r="A904">
        <v>903</v>
      </c>
      <c r="D904" t="e">
        <f>pinyin(B904)</f>
        <v>#NAME?</v>
      </c>
      <c r="E904" t="str">
        <f>IFERROR(__xludf.DUMMYFUNCTION("GOOGLETRANSLATE(B904,""zh"",""vi"")"),"#VALUE!")</f>
        <v>#VALUE!</v>
      </c>
    </row>
    <row r="905">
      <c r="A905">
        <v>904</v>
      </c>
      <c r="D905" t="e">
        <f>pinyin(B905)</f>
        <v>#NAME?</v>
      </c>
      <c r="E905" t="str">
        <f>IFERROR(__xludf.DUMMYFUNCTION("GOOGLETRANSLATE(B905,""zh"",""vi"")"),"#VALUE!")</f>
        <v>#VALUE!</v>
      </c>
    </row>
    <row r="906">
      <c r="A906">
        <v>905</v>
      </c>
      <c r="D906" t="e">
        <f>pinyin(B906)</f>
        <v>#NAME?</v>
      </c>
      <c r="E906" t="str">
        <f>IFERROR(__xludf.DUMMYFUNCTION("GOOGLETRANSLATE(B906,""zh"",""vi"")"),"#VALUE!")</f>
        <v>#VALUE!</v>
      </c>
    </row>
    <row r="907">
      <c r="A907">
        <v>906</v>
      </c>
      <c r="D907" t="e">
        <f>pinyin(B907)</f>
        <v>#NAME?</v>
      </c>
      <c r="E907" t="str">
        <f>IFERROR(__xludf.DUMMYFUNCTION("GOOGLETRANSLATE(B907,""zh"",""vi"")"),"#VALUE!")</f>
        <v>#VALUE!</v>
      </c>
    </row>
    <row r="908">
      <c r="A908">
        <v>907</v>
      </c>
      <c r="D908" t="e">
        <f>pinyin(B908)</f>
        <v>#NAME?</v>
      </c>
      <c r="E908" t="str">
        <f>IFERROR(__xludf.DUMMYFUNCTION("GOOGLETRANSLATE(B908,""zh"",""vi"")"),"#VALUE!")</f>
        <v>#VALUE!</v>
      </c>
    </row>
    <row r="909">
      <c r="A909">
        <v>908</v>
      </c>
      <c r="D909" t="e">
        <f>pinyin(B909)</f>
        <v>#NAME?</v>
      </c>
      <c r="E909" t="str">
        <f>IFERROR(__xludf.DUMMYFUNCTION("GOOGLETRANSLATE(B909,""zh"",""vi"")"),"#VALUE!")</f>
        <v>#VALUE!</v>
      </c>
    </row>
    <row r="910">
      <c r="A910">
        <v>909</v>
      </c>
      <c r="D910" t="e">
        <f>pinyin(B910)</f>
        <v>#NAME?</v>
      </c>
      <c r="E910" t="str">
        <f>IFERROR(__xludf.DUMMYFUNCTION("GOOGLETRANSLATE(B910,""zh"",""vi"")"),"#VALUE!")</f>
        <v>#VALUE!</v>
      </c>
    </row>
    <row r="911">
      <c r="A911">
        <v>910</v>
      </c>
      <c r="D911" t="e">
        <f>pinyin(B911)</f>
        <v>#NAME?</v>
      </c>
      <c r="E911" t="str">
        <f>IFERROR(__xludf.DUMMYFUNCTION("GOOGLETRANSLATE(B911,""zh"",""vi"")"),"#VALUE!")</f>
        <v>#VALUE!</v>
      </c>
    </row>
    <row r="912">
      <c r="A912">
        <v>911</v>
      </c>
      <c r="D912" t="e">
        <f>pinyin(B912)</f>
        <v>#NAME?</v>
      </c>
      <c r="E912" t="str">
        <f>IFERROR(__xludf.DUMMYFUNCTION("GOOGLETRANSLATE(B912,""zh"",""vi"")"),"#VALUE!")</f>
        <v>#VALUE!</v>
      </c>
    </row>
    <row r="913">
      <c r="A913">
        <v>912</v>
      </c>
      <c r="D913" t="e">
        <f>pinyin(B913)</f>
        <v>#NAME?</v>
      </c>
      <c r="E913" t="str">
        <f>IFERROR(__xludf.DUMMYFUNCTION("GOOGLETRANSLATE(B913,""zh"",""vi"")"),"#VALUE!")</f>
        <v>#VALUE!</v>
      </c>
    </row>
    <row r="914">
      <c r="A914">
        <v>913</v>
      </c>
      <c r="D914" t="e">
        <f>pinyin(B914)</f>
        <v>#NAME?</v>
      </c>
      <c r="E914" t="str">
        <f>IFERROR(__xludf.DUMMYFUNCTION("GOOGLETRANSLATE(B914,""zh"",""vi"")"),"#VALUE!")</f>
        <v>#VALUE!</v>
      </c>
    </row>
    <row r="915">
      <c r="A915">
        <v>914</v>
      </c>
      <c r="D915" t="e">
        <f>pinyin(B915)</f>
        <v>#NAME?</v>
      </c>
      <c r="E915" t="str">
        <f>IFERROR(__xludf.DUMMYFUNCTION("GOOGLETRANSLATE(B915,""zh"",""vi"")"),"#VALUE!")</f>
        <v>#VALUE!</v>
      </c>
    </row>
    <row r="916">
      <c r="A916">
        <v>915</v>
      </c>
      <c r="D916" t="e">
        <f>pinyin(B916)</f>
        <v>#NAME?</v>
      </c>
      <c r="E916" t="str">
        <f>IFERROR(__xludf.DUMMYFUNCTION("GOOGLETRANSLATE(B916,""zh"",""vi"")"),"#VALUE!")</f>
        <v>#VALUE!</v>
      </c>
    </row>
    <row r="917">
      <c r="A917">
        <v>916</v>
      </c>
      <c r="D917" t="e">
        <f>pinyin(B917)</f>
        <v>#NAME?</v>
      </c>
      <c r="E917" t="str">
        <f>IFERROR(__xludf.DUMMYFUNCTION("GOOGLETRANSLATE(B917,""zh"",""vi"")"),"#VALUE!")</f>
        <v>#VALUE!</v>
      </c>
    </row>
    <row r="918">
      <c r="A918">
        <v>917</v>
      </c>
      <c r="D918" t="e">
        <f>pinyin(B918)</f>
        <v>#NAME?</v>
      </c>
      <c r="E918" t="str">
        <f>IFERROR(__xludf.DUMMYFUNCTION("GOOGLETRANSLATE(B918,""zh"",""vi"")"),"#VALUE!")</f>
        <v>#VALUE!</v>
      </c>
    </row>
    <row r="919">
      <c r="A919">
        <v>918</v>
      </c>
      <c r="D919" t="e">
        <f>pinyin(B919)</f>
        <v>#NAME?</v>
      </c>
      <c r="E919" t="str">
        <f>IFERROR(__xludf.DUMMYFUNCTION("GOOGLETRANSLATE(B919,""zh"",""vi"")"),"#VALUE!")</f>
        <v>#VALUE!</v>
      </c>
    </row>
    <row r="920">
      <c r="A920">
        <v>919</v>
      </c>
      <c r="D920" t="e">
        <f>pinyin(B920)</f>
        <v>#NAME?</v>
      </c>
      <c r="E920" t="str">
        <f>IFERROR(__xludf.DUMMYFUNCTION("GOOGLETRANSLATE(B920,""zh"",""vi"")"),"#VALUE!")</f>
        <v>#VALUE!</v>
      </c>
    </row>
    <row r="921">
      <c r="A921">
        <v>920</v>
      </c>
      <c r="D921" t="e">
        <f>pinyin(B921)</f>
        <v>#NAME?</v>
      </c>
      <c r="E921" t="str">
        <f>IFERROR(__xludf.DUMMYFUNCTION("GOOGLETRANSLATE(B921,""zh"",""vi"")"),"#VALUE!")</f>
        <v>#VALUE!</v>
      </c>
    </row>
    <row r="922">
      <c r="A922">
        <v>921</v>
      </c>
      <c r="D922" t="e">
        <f>pinyin(B922)</f>
        <v>#NAME?</v>
      </c>
      <c r="E922" t="str">
        <f>IFERROR(__xludf.DUMMYFUNCTION("GOOGLETRANSLATE(B922,""zh"",""vi"")"),"#VALUE!")</f>
        <v>#VALUE!</v>
      </c>
    </row>
    <row r="923">
      <c r="A923">
        <v>922</v>
      </c>
      <c r="D923" t="e">
        <f>pinyin(B923)</f>
        <v>#NAME?</v>
      </c>
      <c r="E923" t="str">
        <f>IFERROR(__xludf.DUMMYFUNCTION("GOOGLETRANSLATE(B923,""zh"",""vi"")"),"#VALUE!")</f>
        <v>#VALUE!</v>
      </c>
    </row>
    <row r="924">
      <c r="A924">
        <v>923</v>
      </c>
      <c r="D924" t="e">
        <f>pinyin(B924)</f>
        <v>#NAME?</v>
      </c>
      <c r="E924" t="str">
        <f>IFERROR(__xludf.DUMMYFUNCTION("GOOGLETRANSLATE(B924,""zh"",""vi"")"),"#VALUE!")</f>
        <v>#VALUE!</v>
      </c>
    </row>
    <row r="925">
      <c r="A925">
        <v>924</v>
      </c>
      <c r="D925" t="e">
        <f>pinyin(B925)</f>
        <v>#NAME?</v>
      </c>
      <c r="E925" t="str">
        <f>IFERROR(__xludf.DUMMYFUNCTION("GOOGLETRANSLATE(B925,""zh"",""vi"")"),"#VALUE!")</f>
        <v>#VALUE!</v>
      </c>
    </row>
    <row r="926">
      <c r="A926">
        <v>925</v>
      </c>
      <c r="D926" t="e">
        <f>pinyin(B926)</f>
        <v>#NAME?</v>
      </c>
      <c r="E926" t="str">
        <f>IFERROR(__xludf.DUMMYFUNCTION("GOOGLETRANSLATE(B926,""zh"",""vi"")"),"#VALUE!")</f>
        <v>#VALUE!</v>
      </c>
    </row>
    <row r="927">
      <c r="A927">
        <v>926</v>
      </c>
      <c r="D927" t="e">
        <f>pinyin(B927)</f>
        <v>#NAME?</v>
      </c>
      <c r="E927" t="str">
        <f>IFERROR(__xludf.DUMMYFUNCTION("GOOGLETRANSLATE(B927,""zh"",""vi"")"),"#VALUE!")</f>
        <v>#VALUE!</v>
      </c>
    </row>
    <row r="928">
      <c r="A928">
        <v>927</v>
      </c>
      <c r="D928" t="e">
        <f>pinyin(B928)</f>
        <v>#NAME?</v>
      </c>
      <c r="E928" t="str">
        <f>IFERROR(__xludf.DUMMYFUNCTION("GOOGLETRANSLATE(B928,""zh"",""vi"")"),"#VALUE!")</f>
        <v>#VALUE!</v>
      </c>
    </row>
    <row r="929">
      <c r="A929">
        <v>928</v>
      </c>
      <c r="D929" t="e">
        <f>pinyin(B929)</f>
        <v>#NAME?</v>
      </c>
      <c r="E929" t="str">
        <f>IFERROR(__xludf.DUMMYFUNCTION("GOOGLETRANSLATE(B929,""zh"",""vi"")"),"#VALUE!")</f>
        <v>#VALUE!</v>
      </c>
    </row>
    <row r="930">
      <c r="A930">
        <v>929</v>
      </c>
      <c r="D930" t="e">
        <f>pinyin(B930)</f>
        <v>#NAME?</v>
      </c>
      <c r="E930" t="str">
        <f>IFERROR(__xludf.DUMMYFUNCTION("GOOGLETRANSLATE(B930,""zh"",""vi"")"),"#VALUE!")</f>
        <v>#VALUE!</v>
      </c>
    </row>
    <row r="931">
      <c r="A931">
        <v>930</v>
      </c>
      <c r="D931" t="e">
        <f>pinyin(B931)</f>
        <v>#NAME?</v>
      </c>
      <c r="E931" t="str">
        <f>IFERROR(__xludf.DUMMYFUNCTION("GOOGLETRANSLATE(B931,""zh"",""vi"")"),"#VALUE!")</f>
        <v>#VALUE!</v>
      </c>
    </row>
    <row r="932">
      <c r="A932">
        <v>931</v>
      </c>
      <c r="D932" t="e">
        <f>pinyin(B932)</f>
        <v>#NAME?</v>
      </c>
      <c r="E932" t="str">
        <f>IFERROR(__xludf.DUMMYFUNCTION("GOOGLETRANSLATE(B932,""zh"",""vi"")"),"#VALUE!")</f>
        <v>#VALUE!</v>
      </c>
    </row>
    <row r="933">
      <c r="A933">
        <v>932</v>
      </c>
      <c r="D933" t="e">
        <f>pinyin(B933)</f>
        <v>#NAME?</v>
      </c>
      <c r="E933" t="str">
        <f>IFERROR(__xludf.DUMMYFUNCTION("GOOGLETRANSLATE(B933,""zh"",""vi"")"),"#VALUE!")</f>
        <v>#VALUE!</v>
      </c>
    </row>
    <row r="934">
      <c r="A934">
        <v>933</v>
      </c>
      <c r="D934" t="e">
        <f>pinyin(B934)</f>
        <v>#NAME?</v>
      </c>
      <c r="E934" t="str">
        <f>IFERROR(__xludf.DUMMYFUNCTION("GOOGLETRANSLATE(B934,""zh"",""vi"")"),"#VALUE!")</f>
        <v>#VALUE!</v>
      </c>
    </row>
    <row r="935">
      <c r="A935">
        <v>934</v>
      </c>
      <c r="D935" t="e">
        <f>pinyin(B935)</f>
        <v>#NAME?</v>
      </c>
      <c r="E935" t="str">
        <f>IFERROR(__xludf.DUMMYFUNCTION("GOOGLETRANSLATE(B935,""zh"",""vi"")"),"#VALUE!")</f>
        <v>#VALUE!</v>
      </c>
    </row>
    <row r="936">
      <c r="A936">
        <v>935</v>
      </c>
      <c r="D936" t="e">
        <f>pinyin(B936)</f>
        <v>#NAME?</v>
      </c>
      <c r="E936" t="str">
        <f>IFERROR(__xludf.DUMMYFUNCTION("GOOGLETRANSLATE(B936,""zh"",""vi"")"),"#VALUE!")</f>
        <v>#VALUE!</v>
      </c>
    </row>
    <row r="937">
      <c r="A937">
        <v>936</v>
      </c>
      <c r="D937" t="e">
        <f>pinyin(B937)</f>
        <v>#NAME?</v>
      </c>
      <c r="E937" t="str">
        <f>IFERROR(__xludf.DUMMYFUNCTION("GOOGLETRANSLATE(B937,""zh"",""vi"")"),"#VALUE!")</f>
        <v>#VALUE!</v>
      </c>
    </row>
    <row r="938">
      <c r="A938">
        <v>937</v>
      </c>
      <c r="D938" t="e">
        <f>pinyin(B938)</f>
        <v>#NAME?</v>
      </c>
      <c r="E938" t="str">
        <f>IFERROR(__xludf.DUMMYFUNCTION("GOOGLETRANSLATE(B938,""zh"",""vi"")"),"#VALUE!")</f>
        <v>#VALUE!</v>
      </c>
    </row>
    <row r="939">
      <c r="A939">
        <v>938</v>
      </c>
      <c r="D939" t="e">
        <f>pinyin(B939)</f>
        <v>#NAME?</v>
      </c>
      <c r="E939" t="str">
        <f>IFERROR(__xludf.DUMMYFUNCTION("GOOGLETRANSLATE(B939,""zh"",""vi"")"),"#VALUE!")</f>
        <v>#VALUE!</v>
      </c>
    </row>
    <row r="940">
      <c r="A940">
        <v>939</v>
      </c>
      <c r="D940" t="e">
        <f>pinyin(B940)</f>
        <v>#NAME?</v>
      </c>
      <c r="E940" t="str">
        <f>IFERROR(__xludf.DUMMYFUNCTION("GOOGLETRANSLATE(B940,""zh"",""vi"")"),"#VALUE!")</f>
        <v>#VALUE!</v>
      </c>
    </row>
    <row r="941">
      <c r="A941">
        <v>940</v>
      </c>
      <c r="D941" t="e">
        <f>pinyin(B941)</f>
        <v>#NAME?</v>
      </c>
      <c r="E941" t="str">
        <f>IFERROR(__xludf.DUMMYFUNCTION("GOOGLETRANSLATE(B941,""zh"",""vi"")"),"#VALUE!")</f>
        <v>#VALUE!</v>
      </c>
    </row>
    <row r="942">
      <c r="A942">
        <v>941</v>
      </c>
      <c r="D942" t="e">
        <f>pinyin(B942)</f>
        <v>#NAME?</v>
      </c>
      <c r="E942" t="str">
        <f>IFERROR(__xludf.DUMMYFUNCTION("GOOGLETRANSLATE(B942,""zh"",""vi"")"),"#VALUE!")</f>
        <v>#VALUE!</v>
      </c>
    </row>
    <row r="943">
      <c r="A943">
        <v>942</v>
      </c>
      <c r="D943" t="e">
        <f>pinyin(B943)</f>
        <v>#NAME?</v>
      </c>
      <c r="E943" t="str">
        <f>IFERROR(__xludf.DUMMYFUNCTION("GOOGLETRANSLATE(B943,""zh"",""vi"")"),"#VALUE!")</f>
        <v>#VALUE!</v>
      </c>
    </row>
    <row r="944">
      <c r="A944">
        <v>943</v>
      </c>
      <c r="D944" t="e">
        <f>pinyin(B944)</f>
        <v>#NAME?</v>
      </c>
      <c r="E944" t="str">
        <f>IFERROR(__xludf.DUMMYFUNCTION("GOOGLETRANSLATE(B944,""zh"",""vi"")"),"#VALUE!")</f>
        <v>#VALUE!</v>
      </c>
    </row>
    <row r="945">
      <c r="A945">
        <v>944</v>
      </c>
      <c r="D945" t="e">
        <f>pinyin(B945)</f>
        <v>#NAME?</v>
      </c>
      <c r="E945" t="str">
        <f>IFERROR(__xludf.DUMMYFUNCTION("GOOGLETRANSLATE(B945,""zh"",""vi"")"),"#VALUE!")</f>
        <v>#VALUE!</v>
      </c>
    </row>
    <row r="946">
      <c r="A946">
        <v>945</v>
      </c>
      <c r="D946" t="e">
        <f>pinyin(B946)</f>
        <v>#NAME?</v>
      </c>
      <c r="E946" t="str">
        <f>IFERROR(__xludf.DUMMYFUNCTION("GOOGLETRANSLATE(B946,""zh"",""vi"")"),"#VALUE!")</f>
        <v>#VALUE!</v>
      </c>
    </row>
    <row r="947">
      <c r="A947">
        <v>946</v>
      </c>
      <c r="D947" t="e">
        <f>pinyin(B947)</f>
        <v>#NAME?</v>
      </c>
      <c r="E947" t="str">
        <f>IFERROR(__xludf.DUMMYFUNCTION("GOOGLETRANSLATE(B947,""zh"",""vi"")"),"#VALUE!")</f>
        <v>#VALUE!</v>
      </c>
    </row>
    <row r="948">
      <c r="A948">
        <v>947</v>
      </c>
      <c r="D948" t="e">
        <f>pinyin(B948)</f>
        <v>#NAME?</v>
      </c>
      <c r="E948" t="str">
        <f>IFERROR(__xludf.DUMMYFUNCTION("GOOGLETRANSLATE(B948,""zh"",""vi"")"),"#VALUE!")</f>
        <v>#VALUE!</v>
      </c>
    </row>
    <row r="949">
      <c r="A949">
        <v>948</v>
      </c>
      <c r="D949" t="e">
        <f>pinyin(B949)</f>
        <v>#NAME?</v>
      </c>
      <c r="E949" t="str">
        <f>IFERROR(__xludf.DUMMYFUNCTION("GOOGLETRANSLATE(B949,""zh"",""vi"")"),"#VALUE!")</f>
        <v>#VALUE!</v>
      </c>
    </row>
    <row r="950">
      <c r="A950">
        <v>949</v>
      </c>
      <c r="D950" t="e">
        <f>pinyin(B950)</f>
        <v>#NAME?</v>
      </c>
      <c r="E950" t="str">
        <f>IFERROR(__xludf.DUMMYFUNCTION("GOOGLETRANSLATE(B950,""zh"",""vi"")"),"#VALUE!")</f>
        <v>#VALUE!</v>
      </c>
    </row>
    <row r="951">
      <c r="A951">
        <v>950</v>
      </c>
      <c r="D951" t="e">
        <f>pinyin(B951)</f>
        <v>#NAME?</v>
      </c>
      <c r="E951" t="str">
        <f>IFERROR(__xludf.DUMMYFUNCTION("GOOGLETRANSLATE(B951,""zh"",""vi"")"),"#VALUE!")</f>
        <v>#VALUE!</v>
      </c>
    </row>
    <row r="952">
      <c r="A952">
        <v>951</v>
      </c>
      <c r="D952" t="e">
        <f>pinyin(B952)</f>
        <v>#NAME?</v>
      </c>
      <c r="E952" t="str">
        <f>IFERROR(__xludf.DUMMYFUNCTION("GOOGLETRANSLATE(B952,""zh"",""vi"")"),"#VALUE!")</f>
        <v>#VALUE!</v>
      </c>
    </row>
    <row r="953">
      <c r="A953">
        <v>952</v>
      </c>
      <c r="D953" t="e">
        <f>pinyin(B953)</f>
        <v>#NAME?</v>
      </c>
      <c r="E953" t="str">
        <f>IFERROR(__xludf.DUMMYFUNCTION("GOOGLETRANSLATE(B953,""zh"",""vi"")"),"#VALUE!")</f>
        <v>#VALUE!</v>
      </c>
    </row>
    <row r="954">
      <c r="A954">
        <v>953</v>
      </c>
      <c r="D954" t="e">
        <f>pinyin(B954)</f>
        <v>#NAME?</v>
      </c>
      <c r="E954" t="str">
        <f>IFERROR(__xludf.DUMMYFUNCTION("GOOGLETRANSLATE(B954,""zh"",""vi"")"),"#VALUE!")</f>
        <v>#VALUE!</v>
      </c>
    </row>
    <row r="955">
      <c r="A955">
        <v>954</v>
      </c>
      <c r="D955" t="e">
        <f>pinyin(B955)</f>
        <v>#NAME?</v>
      </c>
      <c r="E955" t="str">
        <f>IFERROR(__xludf.DUMMYFUNCTION("GOOGLETRANSLATE(B955,""zh"",""vi"")"),"#VALUE!")</f>
        <v>#VALUE!</v>
      </c>
    </row>
    <row r="956">
      <c r="A956">
        <v>955</v>
      </c>
      <c r="D956" t="e">
        <f>pinyin(B956)</f>
        <v>#NAME?</v>
      </c>
      <c r="E956" t="str">
        <f>IFERROR(__xludf.DUMMYFUNCTION("GOOGLETRANSLATE(B956,""zh"",""vi"")"),"#VALUE!")</f>
        <v>#VALUE!</v>
      </c>
    </row>
    <row r="957">
      <c r="A957">
        <v>956</v>
      </c>
      <c r="D957" t="e">
        <f>pinyin(B957)</f>
        <v>#NAME?</v>
      </c>
      <c r="E957" t="str">
        <f>IFERROR(__xludf.DUMMYFUNCTION("GOOGLETRANSLATE(B957,""zh"",""vi"")"),"#VALUE!")</f>
        <v>#VALUE!</v>
      </c>
    </row>
    <row r="958">
      <c r="A958">
        <v>957</v>
      </c>
      <c r="D958" t="e">
        <f>pinyin(B958)</f>
        <v>#NAME?</v>
      </c>
      <c r="E958" t="str">
        <f>IFERROR(__xludf.DUMMYFUNCTION("GOOGLETRANSLATE(B958,""zh"",""vi"")"),"#VALUE!")</f>
        <v>#VALUE!</v>
      </c>
    </row>
    <row r="959">
      <c r="A959">
        <v>958</v>
      </c>
      <c r="D959" t="e">
        <f>pinyin(B959)</f>
        <v>#NAME?</v>
      </c>
      <c r="E959" t="str">
        <f>IFERROR(__xludf.DUMMYFUNCTION("GOOGLETRANSLATE(B959,""zh"",""vi"")"),"#VALUE!")</f>
        <v>#VALUE!</v>
      </c>
    </row>
    <row r="960">
      <c r="A960">
        <v>959</v>
      </c>
      <c r="D960" t="e">
        <f>pinyin(B960)</f>
        <v>#NAME?</v>
      </c>
      <c r="E960" t="str">
        <f>IFERROR(__xludf.DUMMYFUNCTION("GOOGLETRANSLATE(B960,""zh"",""vi"")"),"#VALUE!")</f>
        <v>#VALUE!</v>
      </c>
    </row>
    <row r="961">
      <c r="A961">
        <v>960</v>
      </c>
      <c r="D961" t="e">
        <f>pinyin(B961)</f>
        <v>#NAME?</v>
      </c>
      <c r="E961" t="str">
        <f>IFERROR(__xludf.DUMMYFUNCTION("GOOGLETRANSLATE(B961,""zh"",""vi"")"),"#VALUE!")</f>
        <v>#VALUE!</v>
      </c>
    </row>
    <row r="962">
      <c r="A962">
        <v>961</v>
      </c>
      <c r="D962" t="e">
        <f>pinyin(B962)</f>
        <v>#NAME?</v>
      </c>
      <c r="E962" t="str">
        <f>IFERROR(__xludf.DUMMYFUNCTION("GOOGLETRANSLATE(B962,""zh"",""vi"")"),"#VALUE!")</f>
        <v>#VALUE!</v>
      </c>
    </row>
    <row r="963">
      <c r="A963">
        <v>962</v>
      </c>
      <c r="D963" t="e">
        <f>pinyin(B963)</f>
        <v>#NAME?</v>
      </c>
      <c r="E963" t="str">
        <f>IFERROR(__xludf.DUMMYFUNCTION("GOOGLETRANSLATE(B963,""zh"",""vi"")"),"#VALUE!")</f>
        <v>#VALUE!</v>
      </c>
    </row>
    <row r="964">
      <c r="A964">
        <v>963</v>
      </c>
      <c r="D964" t="e">
        <f>pinyin(B964)</f>
        <v>#NAME?</v>
      </c>
      <c r="E964" t="str">
        <f>IFERROR(__xludf.DUMMYFUNCTION("GOOGLETRANSLATE(B964,""zh"",""vi"")"),"#VALUE!")</f>
        <v>#VALUE!</v>
      </c>
    </row>
    <row r="965">
      <c r="A965">
        <v>964</v>
      </c>
      <c r="D965" t="e">
        <f>pinyin(B965)</f>
        <v>#NAME?</v>
      </c>
      <c r="E965" t="str">
        <f>IFERROR(__xludf.DUMMYFUNCTION("GOOGLETRANSLATE(B965,""zh"",""vi"")"),"#VALUE!")</f>
        <v>#VALUE!</v>
      </c>
    </row>
    <row r="966">
      <c r="A966">
        <v>965</v>
      </c>
      <c r="D966" t="e">
        <f>pinyin(B966)</f>
        <v>#NAME?</v>
      </c>
      <c r="E966" t="str">
        <f>IFERROR(__xludf.DUMMYFUNCTION("GOOGLETRANSLATE(B966,""zh"",""vi"")"),"#VALUE!")</f>
        <v>#VALUE!</v>
      </c>
    </row>
    <row r="967">
      <c r="A967">
        <v>966</v>
      </c>
      <c r="D967" t="e">
        <f>pinyin(B967)</f>
        <v>#NAME?</v>
      </c>
      <c r="E967" t="str">
        <f>IFERROR(__xludf.DUMMYFUNCTION("GOOGLETRANSLATE(B967,""zh"",""vi"")"),"#VALUE!")</f>
        <v>#VALUE!</v>
      </c>
    </row>
    <row r="968">
      <c r="A968">
        <v>967</v>
      </c>
      <c r="D968" t="e">
        <f>pinyin(B968)</f>
        <v>#NAME?</v>
      </c>
      <c r="E968" t="str">
        <f>IFERROR(__xludf.DUMMYFUNCTION("GOOGLETRANSLATE(B968,""zh"",""vi"")"),"#VALUE!")</f>
        <v>#VALUE!</v>
      </c>
    </row>
    <row r="969">
      <c r="A969">
        <v>968</v>
      </c>
      <c r="D969" t="e">
        <f>pinyin(B969)</f>
        <v>#NAME?</v>
      </c>
      <c r="E969" t="str">
        <f>IFERROR(__xludf.DUMMYFUNCTION("GOOGLETRANSLATE(B969,""zh"",""vi"")"),"#VALUE!")</f>
        <v>#VALUE!</v>
      </c>
    </row>
    <row r="970">
      <c r="A970">
        <v>969</v>
      </c>
      <c r="D970" t="e">
        <f>pinyin(B970)</f>
        <v>#NAME?</v>
      </c>
      <c r="E970" t="str">
        <f>IFERROR(__xludf.DUMMYFUNCTION("GOOGLETRANSLATE(B970,""zh"",""vi"")"),"#VALUE!")</f>
        <v>#VALUE!</v>
      </c>
    </row>
    <row r="971">
      <c r="A971">
        <v>970</v>
      </c>
      <c r="D971" t="e">
        <f>pinyin(B971)</f>
        <v>#NAME?</v>
      </c>
      <c r="E971" t="str">
        <f>IFERROR(__xludf.DUMMYFUNCTION("GOOGLETRANSLATE(B971,""zh"",""vi"")"),"#VALUE!")</f>
        <v>#VALUE!</v>
      </c>
    </row>
    <row r="972">
      <c r="A972">
        <v>971</v>
      </c>
      <c r="D972" t="e">
        <f>pinyin(B972)</f>
        <v>#NAME?</v>
      </c>
      <c r="E972" t="str">
        <f>IFERROR(__xludf.DUMMYFUNCTION("GOOGLETRANSLATE(B972,""zh"",""vi"")"),"#VALUE!")</f>
        <v>#VALUE!</v>
      </c>
    </row>
    <row r="973">
      <c r="A973">
        <v>972</v>
      </c>
      <c r="D973" t="e">
        <f>pinyin(B973)</f>
        <v>#NAME?</v>
      </c>
      <c r="E973" t="str">
        <f>IFERROR(__xludf.DUMMYFUNCTION("GOOGLETRANSLATE(B973,""zh"",""vi"")"),"#VALUE!")</f>
        <v>#VALUE!</v>
      </c>
    </row>
    <row r="974">
      <c r="A974">
        <v>973</v>
      </c>
      <c r="D974" t="e">
        <f>pinyin(B974)</f>
        <v>#NAME?</v>
      </c>
      <c r="E974" t="str">
        <f>IFERROR(__xludf.DUMMYFUNCTION("GOOGLETRANSLATE(B974,""zh"",""vi"")"),"#VALUE!")</f>
        <v>#VALUE!</v>
      </c>
    </row>
    <row r="975">
      <c r="A975">
        <v>974</v>
      </c>
      <c r="D975" t="e">
        <f>pinyin(B975)</f>
        <v>#NAME?</v>
      </c>
      <c r="E975" t="str">
        <f>IFERROR(__xludf.DUMMYFUNCTION("GOOGLETRANSLATE(B975,""zh"",""vi"")"),"#VALUE!")</f>
        <v>#VALUE!</v>
      </c>
    </row>
    <row r="976">
      <c r="A976">
        <v>975</v>
      </c>
      <c r="D976" t="e">
        <f>pinyin(B976)</f>
        <v>#NAME?</v>
      </c>
      <c r="E976" t="str">
        <f>IFERROR(__xludf.DUMMYFUNCTION("GOOGLETRANSLATE(B976,""zh"",""vi"")"),"#VALUE!")</f>
        <v>#VALUE!</v>
      </c>
    </row>
    <row r="977">
      <c r="A977">
        <v>976</v>
      </c>
      <c r="D977" t="e">
        <f>pinyin(B977)</f>
        <v>#NAME?</v>
      </c>
      <c r="E977" t="str">
        <f>IFERROR(__xludf.DUMMYFUNCTION("GOOGLETRANSLATE(B977,""zh"",""vi"")"),"#VALUE!")</f>
        <v>#VALUE!</v>
      </c>
    </row>
    <row r="978">
      <c r="A978">
        <v>977</v>
      </c>
      <c r="D978" t="e">
        <f>pinyin(B978)</f>
        <v>#NAME?</v>
      </c>
      <c r="E978" t="str">
        <f>IFERROR(__xludf.DUMMYFUNCTION("GOOGLETRANSLATE(B978,""zh"",""vi"")"),"#VALUE!")</f>
        <v>#VALUE!</v>
      </c>
    </row>
    <row r="979">
      <c r="A979">
        <v>978</v>
      </c>
      <c r="D979" t="e">
        <f>pinyin(B979)</f>
        <v>#NAME?</v>
      </c>
      <c r="E979" t="str">
        <f>IFERROR(__xludf.DUMMYFUNCTION("GOOGLETRANSLATE(B979,""zh"",""vi"")"),"#VALUE!")</f>
        <v>#VALUE!</v>
      </c>
    </row>
    <row r="980">
      <c r="A980">
        <v>979</v>
      </c>
      <c r="D980" t="e">
        <f>pinyin(B980)</f>
        <v>#NAME?</v>
      </c>
      <c r="E980" t="str">
        <f>IFERROR(__xludf.DUMMYFUNCTION("GOOGLETRANSLATE(B980,""zh"",""vi"")"),"#VALUE!")</f>
        <v>#VALUE!</v>
      </c>
    </row>
    <row r="981">
      <c r="A981">
        <v>980</v>
      </c>
      <c r="D981" t="e">
        <f>pinyin(B981)</f>
        <v>#NAME?</v>
      </c>
      <c r="E981" t="str">
        <f>IFERROR(__xludf.DUMMYFUNCTION("GOOGLETRANSLATE(B981,""zh"",""vi"")"),"#VALUE!")</f>
        <v>#VALUE!</v>
      </c>
    </row>
    <row r="982">
      <c r="A982">
        <v>981</v>
      </c>
      <c r="D982" t="e">
        <f>pinyin(B982)</f>
        <v>#NAME?</v>
      </c>
      <c r="E982" t="str">
        <f>IFERROR(__xludf.DUMMYFUNCTION("GOOGLETRANSLATE(B982,""zh"",""vi"")"),"#VALUE!")</f>
        <v>#VALUE!</v>
      </c>
    </row>
    <row r="983">
      <c r="A983">
        <v>982</v>
      </c>
      <c r="D983" t="e">
        <f>pinyin(B983)</f>
        <v>#NAME?</v>
      </c>
      <c r="E983" t="str">
        <f>IFERROR(__xludf.DUMMYFUNCTION("GOOGLETRANSLATE(B983,""zh"",""vi"")"),"#VALUE!")</f>
        <v>#VALUE!</v>
      </c>
    </row>
    <row r="984">
      <c r="A984">
        <v>983</v>
      </c>
      <c r="D984" t="e">
        <f>pinyin(B984)</f>
        <v>#NAME?</v>
      </c>
      <c r="E984" t="str">
        <f>IFERROR(__xludf.DUMMYFUNCTION("GOOGLETRANSLATE(B984,""zh"",""vi"")"),"#VALUE!")</f>
        <v>#VALUE!</v>
      </c>
    </row>
    <row r="985">
      <c r="A985">
        <v>984</v>
      </c>
      <c r="D985" t="e">
        <f>pinyin(B985)</f>
        <v>#NAME?</v>
      </c>
      <c r="E985" t="str">
        <f>IFERROR(__xludf.DUMMYFUNCTION("GOOGLETRANSLATE(B985,""zh"",""vi"")"),"#VALUE!")</f>
        <v>#VALUE!</v>
      </c>
    </row>
    <row r="986">
      <c r="A986">
        <v>985</v>
      </c>
      <c r="D986" t="e">
        <f>pinyin(B986)</f>
        <v>#NAME?</v>
      </c>
      <c r="E986" t="str">
        <f>IFERROR(__xludf.DUMMYFUNCTION("GOOGLETRANSLATE(B986,""zh"",""vi"")"),"#VALUE!")</f>
        <v>#VALUE!</v>
      </c>
    </row>
    <row r="987">
      <c r="A987">
        <v>986</v>
      </c>
      <c r="D987" t="e">
        <f>pinyin(B987)</f>
        <v>#NAME?</v>
      </c>
      <c r="E987" t="str">
        <f>IFERROR(__xludf.DUMMYFUNCTION("GOOGLETRANSLATE(B987,""zh"",""vi"")"),"#VALUE!")</f>
        <v>#VALUE!</v>
      </c>
    </row>
    <row r="988">
      <c r="A988">
        <v>987</v>
      </c>
      <c r="D988" t="e">
        <f>pinyin(B988)</f>
        <v>#NAME?</v>
      </c>
      <c r="E988" t="str">
        <f>IFERROR(__xludf.DUMMYFUNCTION("GOOGLETRANSLATE(B988,""zh"",""vi"")"),"#VALUE!")</f>
        <v>#VALUE!</v>
      </c>
    </row>
    <row r="989">
      <c r="A989">
        <v>988</v>
      </c>
      <c r="D989" t="e">
        <f>pinyin(B989)</f>
        <v>#NAME?</v>
      </c>
      <c r="E989" t="str">
        <f>IFERROR(__xludf.DUMMYFUNCTION("GOOGLETRANSLATE(B989,""zh"",""vi"")"),"#VALUE!")</f>
        <v>#VALUE!</v>
      </c>
    </row>
    <row r="990">
      <c r="A990">
        <v>989</v>
      </c>
      <c r="D990" t="e">
        <f>pinyin(B990)</f>
        <v>#NAME?</v>
      </c>
      <c r="E990" t="str">
        <f>IFERROR(__xludf.DUMMYFUNCTION("GOOGLETRANSLATE(B990,""zh"",""vi"")"),"#VALUE!")</f>
        <v>#VALUE!</v>
      </c>
    </row>
    <row r="991">
      <c r="A991">
        <v>990</v>
      </c>
      <c r="D991" t="e">
        <f>pinyin(B991)</f>
        <v>#NAME?</v>
      </c>
      <c r="E991" t="str">
        <f>IFERROR(__xludf.DUMMYFUNCTION("GOOGLETRANSLATE(B991,""zh"",""vi"")"),"#VALUE!")</f>
        <v>#VALUE!</v>
      </c>
    </row>
    <row r="992">
      <c r="A992">
        <v>991</v>
      </c>
      <c r="D992" t="e">
        <f>pinyin(B992)</f>
        <v>#NAME?</v>
      </c>
      <c r="E992" t="str">
        <f>IFERROR(__xludf.DUMMYFUNCTION("GOOGLETRANSLATE(B992,""zh"",""vi"")"),"#VALUE!")</f>
        <v>#VALUE!</v>
      </c>
    </row>
    <row r="993">
      <c r="A993">
        <v>992</v>
      </c>
      <c r="D993" t="e">
        <f>pinyin(B993)</f>
        <v>#NAME?</v>
      </c>
      <c r="E993" t="str">
        <f>IFERROR(__xludf.DUMMYFUNCTION("GOOGLETRANSLATE(B993,""zh"",""vi"")"),"#VALUE!")</f>
        <v>#VALUE!</v>
      </c>
    </row>
    <row r="994">
      <c r="A994">
        <v>993</v>
      </c>
      <c r="D994" t="e">
        <f>pinyin(B994)</f>
        <v>#NAME?</v>
      </c>
      <c r="E994" t="str">
        <f>IFERROR(__xludf.DUMMYFUNCTION("GOOGLETRANSLATE(B994,""zh"",""vi"")"),"#VALUE!")</f>
        <v>#VALUE!</v>
      </c>
    </row>
    <row r="995">
      <c r="A995">
        <v>994</v>
      </c>
      <c r="D995" t="e">
        <f>pinyin(B995)</f>
        <v>#NAME?</v>
      </c>
      <c r="E995" t="str">
        <f>IFERROR(__xludf.DUMMYFUNCTION("GOOGLETRANSLATE(B995,""zh"",""vi"")"),"#VALUE!")</f>
        <v>#VALUE!</v>
      </c>
    </row>
    <row r="996">
      <c r="A996">
        <v>995</v>
      </c>
      <c r="D996" t="e">
        <f>pinyin(B996)</f>
        <v>#NAME?</v>
      </c>
      <c r="E996" t="str">
        <f>IFERROR(__xludf.DUMMYFUNCTION("GOOGLETRANSLATE(B996,""zh"",""vi"")"),"#VALUE!")</f>
        <v>#VALUE!</v>
      </c>
    </row>
    <row r="997">
      <c r="A997">
        <v>996</v>
      </c>
      <c r="D997" t="e">
        <f>pinyin(B997)</f>
        <v>#NAME?</v>
      </c>
      <c r="E997" t="str">
        <f>IFERROR(__xludf.DUMMYFUNCTION("GOOGLETRANSLATE(B997,""zh"",""vi"")"),"#VALUE!")</f>
        <v>#VALUE!</v>
      </c>
    </row>
    <row r="998">
      <c r="A998">
        <v>997</v>
      </c>
      <c r="D998" t="e">
        <f>pinyin(B998)</f>
        <v>#NAME?</v>
      </c>
      <c r="E998" t="str">
        <f>IFERROR(__xludf.DUMMYFUNCTION("GOOGLETRANSLATE(B998,""zh"",""vi"")"),"#VALUE!")</f>
        <v>#VALUE!</v>
      </c>
    </row>
    <row r="999">
      <c r="A999">
        <v>998</v>
      </c>
      <c r="D999" t="e">
        <f>pinyin(B999)</f>
        <v>#NAME?</v>
      </c>
      <c r="E999" t="str">
        <f>IFERROR(__xludf.DUMMYFUNCTION("GOOGLETRANSLATE(B999,""zh"",""vi"")"),"#VALUE!")</f>
        <v>#VALUE!</v>
      </c>
    </row>
    <row r="1000">
      <c r="A1000">
        <v>999</v>
      </c>
      <c r="D1000" t="e">
        <f>pinyin(B1000)</f>
        <v>#NAME?</v>
      </c>
      <c r="E1000" t="str">
        <f>IFERROR(__xludf.DUMMYFUNCTION("GOOGLETRANSLATE(B1000,""zh"",""vi"")"),"#VALUE!")</f>
        <v>#VALUE!</v>
      </c>
    </row>
  </sheetData>
  <mergeCells count="2">
    <mergeCell ref="I1:J1"/>
    <mergeCell ref="I2:I7"/>
  </mergeCells>
  <pageMargins left="0.7" right="0.7" top="0.75" bottom="0.75" header="0.3" footer="0.3"/>
  <ignoredErrors>
    <ignoredError numberStoredAsText="1" sqref="A1:K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HSK 1 - Sơ Cấp</vt:lpstr>
      <vt:lpstr>HSK 2 - Sơ Cấp</vt:lpstr>
      <vt:lpstr>HSK 3- Trung cấp</vt:lpstr>
      <vt:lpstr>HSK 4- Trung cấp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2026-05-02T05:55:57Z</dcterms:modified>
  <cp:lastModifiedBy>PHAN PHI PHU</cp:lastModifiedBy>
</cp:coreProperties>
</file>